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fit.sharepoint.com/sites/PKratos/Documentos compartidos/Equipo Kratos 2025-2027/1 FSAE/0 Gestión del proyecto/Seguimientos Del Proyecto/"/>
    </mc:Choice>
  </mc:AlternateContent>
  <xr:revisionPtr revIDLastSave="0" documentId="8_{7E35AF78-8D82-4AEC-A33D-06E4778EC3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iseño a Detalle" sheetId="6" r:id="rId1"/>
    <sheet name="Manufactura" sheetId="2" state="hidden" r:id="rId2"/>
    <sheet name="Pruebas " sheetId="1" state="hidden" r:id="rId3"/>
    <sheet name="Control de Cambios" sheetId="7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6" l="1"/>
  <c r="J193" i="6"/>
  <c r="AG8" i="6"/>
  <c r="AG4" i="6"/>
  <c r="H251" i="6"/>
</calcChain>
</file>

<file path=xl/sharedStrings.xml><?xml version="1.0" encoding="utf-8"?>
<sst xmlns="http://schemas.openxmlformats.org/spreadsheetml/2006/main" count="4440" uniqueCount="1197">
  <si>
    <t>Febrero</t>
  </si>
  <si>
    <t>Marzo</t>
  </si>
  <si>
    <t>Abril</t>
  </si>
  <si>
    <t>Mayo</t>
  </si>
  <si>
    <t>ID Tarea</t>
  </si>
  <si>
    <t>Subsistema</t>
  </si>
  <si>
    <t>Microsubsistema</t>
  </si>
  <si>
    <t>Paquete de Actividades</t>
  </si>
  <si>
    <t>Actividad (Literal)</t>
  </si>
  <si>
    <t>Entregable</t>
  </si>
  <si>
    <t>Actividad Predecesora</t>
  </si>
  <si>
    <t>Responsable</t>
  </si>
  <si>
    <t>Fecha Inicial</t>
  </si>
  <si>
    <t>Fecha Final</t>
  </si>
  <si>
    <t>Estado</t>
  </si>
  <si>
    <t>S1</t>
  </si>
  <si>
    <t>S2</t>
  </si>
  <si>
    <t>S3</t>
  </si>
  <si>
    <t>S4</t>
  </si>
  <si>
    <t>S5-S1</t>
  </si>
  <si>
    <t>S5</t>
  </si>
  <si>
    <t>DYM-AE-001</t>
  </si>
  <si>
    <t>DYM</t>
  </si>
  <si>
    <t>Aerodinámica</t>
  </si>
  <si>
    <t>Nosecone</t>
  </si>
  <si>
    <t>Iteración del Nosecone</t>
  </si>
  <si>
    <t>Pieza CAD</t>
  </si>
  <si>
    <t>Chasis definido</t>
  </si>
  <si>
    <t>Daniel</t>
  </si>
  <si>
    <t>Terminado</t>
  </si>
  <si>
    <t>DYM-AE-002</t>
  </si>
  <si>
    <t>Cálculos y simulación FEA y CFD</t>
  </si>
  <si>
    <t>Estudio FEM</t>
  </si>
  <si>
    <t>No iniciado</t>
  </si>
  <si>
    <t>Porcentaje Completado</t>
  </si>
  <si>
    <t>DYM-AE-003</t>
  </si>
  <si>
    <t>Validación de características meta</t>
  </si>
  <si>
    <t>Dato</t>
  </si>
  <si>
    <t>DYM-AE-004</t>
  </si>
  <si>
    <t>CAD moldes/matrices/plugs</t>
  </si>
  <si>
    <t>DYM-AE-005</t>
  </si>
  <si>
    <t>Difusor</t>
  </si>
  <si>
    <t>Iteración del Difusor</t>
  </si>
  <si>
    <t>Sebastián y Rave</t>
  </si>
  <si>
    <t>Porcentaje DYM</t>
  </si>
  <si>
    <t>DYM-AE-006</t>
  </si>
  <si>
    <t>Definición de método de ensamble</t>
  </si>
  <si>
    <t>Presentación</t>
  </si>
  <si>
    <t>Porcentaje Electrónica</t>
  </si>
  <si>
    <t>DYM-AE-007</t>
  </si>
  <si>
    <t>Ubicación de ensamble en CAD</t>
  </si>
  <si>
    <t>Ensamble CAD</t>
  </si>
  <si>
    <t>DYM-AE-008</t>
  </si>
  <si>
    <t>Calculos y simulación FEA y CFD</t>
  </si>
  <si>
    <t>Pipe</t>
  </si>
  <si>
    <t>DYM-AE-009</t>
  </si>
  <si>
    <t>Ensamble al paquete</t>
  </si>
  <si>
    <t>Sebastián</t>
  </si>
  <si>
    <t>En curso</t>
  </si>
  <si>
    <t>DYM-AE-010</t>
  </si>
  <si>
    <t>Sidepods</t>
  </si>
  <si>
    <t>Rediseño de sidepods</t>
  </si>
  <si>
    <t>Samuel</t>
  </si>
  <si>
    <t>DYM-AE-011</t>
  </si>
  <si>
    <t>Ensamble al chasis</t>
  </si>
  <si>
    <t>DYM-AE-012</t>
  </si>
  <si>
    <t>DYM-AE-013</t>
  </si>
  <si>
    <t>DYM-AE-017</t>
  </si>
  <si>
    <t>Paquete aerodinámico</t>
  </si>
  <si>
    <t>Ensamblar el paquete aerodinámico al chasis</t>
  </si>
  <si>
    <t>Sub-ensambles listos</t>
  </si>
  <si>
    <t>DYM-AE-018</t>
  </si>
  <si>
    <t>Simplificar geometrías para simulación en Ansys</t>
  </si>
  <si>
    <t>Paquete aerodinámico ensamblado</t>
  </si>
  <si>
    <t>DYM-AE-019</t>
  </si>
  <si>
    <t>Simulación CFD Ansys</t>
  </si>
  <si>
    <t>Simulación CFD</t>
  </si>
  <si>
    <t>Geometrías simplificadas para ansys</t>
  </si>
  <si>
    <t>DYM-AE-020</t>
  </si>
  <si>
    <t>Dashboard</t>
  </si>
  <si>
    <t>Estudio de requisitos de dashboard</t>
  </si>
  <si>
    <t>DYM-AE-021</t>
  </si>
  <si>
    <t>Revisión reglamentaria</t>
  </si>
  <si>
    <t>DYM-AE-022</t>
  </si>
  <si>
    <t>Diseño CAD</t>
  </si>
  <si>
    <t>DYM-AE-023</t>
  </si>
  <si>
    <t>Ensamble Dashboard</t>
  </si>
  <si>
    <t>DYM-CH-001</t>
  </si>
  <si>
    <t>Chasis</t>
  </si>
  <si>
    <t>Estructura</t>
  </si>
  <si>
    <t>Iter 10 + FEM</t>
  </si>
  <si>
    <t>Juan José</t>
  </si>
  <si>
    <t> </t>
  </si>
  <si>
    <t>DYM-CH-002</t>
  </si>
  <si>
    <t>Reuniones con otros micros y FEM total</t>
  </si>
  <si>
    <t>DYM-CH-003</t>
  </si>
  <si>
    <t>Iter 11 + FEM</t>
  </si>
  <si>
    <t>DYM-CH-004</t>
  </si>
  <si>
    <t xml:space="preserve">Iter 12 </t>
  </si>
  <si>
    <t>DYM-CH-005</t>
  </si>
  <si>
    <t>Comprobacion empaquetamiento</t>
  </si>
  <si>
    <t>DYM-CH-006</t>
  </si>
  <si>
    <t xml:space="preserve">Iter 13 </t>
  </si>
  <si>
    <t>DYM-CH-007</t>
  </si>
  <si>
    <t>Iter 14 + FEM</t>
  </si>
  <si>
    <t>Pieza CAD y Estudio FEM</t>
  </si>
  <si>
    <t>En progreso</t>
  </si>
  <si>
    <t>DYM-CH-008</t>
  </si>
  <si>
    <t>Ensamble Chasis</t>
  </si>
  <si>
    <t>DYM-CH-009</t>
  </si>
  <si>
    <t>Planos Generales</t>
  </si>
  <si>
    <t>Planos</t>
  </si>
  <si>
    <t>DYM-CH-010</t>
  </si>
  <si>
    <t>BOM</t>
  </si>
  <si>
    <t>DYM-CH-011</t>
  </si>
  <si>
    <t>Ergonomía</t>
  </si>
  <si>
    <t>Defincion de croquis</t>
  </si>
  <si>
    <t>Sketch</t>
  </si>
  <si>
    <t>Maria José</t>
  </si>
  <si>
    <t>DYM-CH-012</t>
  </si>
  <si>
    <t>Cambios</t>
  </si>
  <si>
    <t>No Especificado</t>
  </si>
  <si>
    <t>DYM-CH-013</t>
  </si>
  <si>
    <t xml:space="preserve">Propuestas </t>
  </si>
  <si>
    <t>Manuela Y Maria José</t>
  </si>
  <si>
    <t>DYM-CH-014</t>
  </si>
  <si>
    <t>Iter 1 de la silla + FEM</t>
  </si>
  <si>
    <t>DYM-CH-015</t>
  </si>
  <si>
    <t>Platinas Iter 1 para la silla + FEM</t>
  </si>
  <si>
    <t>DYM-CH-016</t>
  </si>
  <si>
    <t>Iter 2 de la silla + fem</t>
  </si>
  <si>
    <t>DYM-CH-017</t>
  </si>
  <si>
    <t>Platinas Iter 2 para la silla + FEM</t>
  </si>
  <si>
    <t>DYM-CH-018</t>
  </si>
  <si>
    <t>Platinas Iter 3 para la silla + FEM</t>
  </si>
  <si>
    <t>DYM-CH-019</t>
  </si>
  <si>
    <t>Ensamble de Ergo</t>
  </si>
  <si>
    <t>DYM-CH-020</t>
  </si>
  <si>
    <t>Poner la platina inferior de la silla</t>
  </si>
  <si>
    <t>DYM-CH-021</t>
  </si>
  <si>
    <t>DYM-CH-022</t>
  </si>
  <si>
    <t>DYM-CH-023</t>
  </si>
  <si>
    <t>Sujeciones</t>
  </si>
  <si>
    <t>Excel de fuerzas</t>
  </si>
  <si>
    <t>Hoja de cálculo</t>
  </si>
  <si>
    <t>DYM-CH-024</t>
  </si>
  <si>
    <t>Ideas</t>
  </si>
  <si>
    <t>DYM-CH-025</t>
  </si>
  <si>
    <t>Geometrias</t>
  </si>
  <si>
    <t>DYM-CH-026</t>
  </si>
  <si>
    <t>Reajueste de empaquetamiento</t>
  </si>
  <si>
    <t>Todos</t>
  </si>
  <si>
    <t>DYM-CH-027</t>
  </si>
  <si>
    <t>Disposicion</t>
  </si>
  <si>
    <t>DYM-CH-028</t>
  </si>
  <si>
    <t>Iter 1 de las sujeciones + FEM</t>
  </si>
  <si>
    <t>DYM-CH-029</t>
  </si>
  <si>
    <t>Ensamble</t>
  </si>
  <si>
    <t>DYM-CH-033</t>
  </si>
  <si>
    <t>DYM-CH-034</t>
  </si>
  <si>
    <t>DYM-CH-035</t>
  </si>
  <si>
    <t xml:space="preserve">Firewall iter 1 </t>
  </si>
  <si>
    <t>Goma</t>
  </si>
  <si>
    <t>DYM-CH-036</t>
  </si>
  <si>
    <t>Firewall iter 2</t>
  </si>
  <si>
    <t>DYM-CH-037</t>
  </si>
  <si>
    <t xml:space="preserve">Firewall iter 3 </t>
  </si>
  <si>
    <t>DYM-CH-038</t>
  </si>
  <si>
    <t>Firewall iter 4</t>
  </si>
  <si>
    <t>DYM-CH-039</t>
  </si>
  <si>
    <t>Firewall iter 5</t>
  </si>
  <si>
    <t>DYM-CH-040</t>
  </si>
  <si>
    <t>Firewall iter 6</t>
  </si>
  <si>
    <t>DYM-CH-041</t>
  </si>
  <si>
    <t>Sujeciones Firewall</t>
  </si>
  <si>
    <t>DYM-CH-042</t>
  </si>
  <si>
    <t>General</t>
  </si>
  <si>
    <t>Centralizacion de archivos</t>
  </si>
  <si>
    <t>DYM-DI-01</t>
  </si>
  <si>
    <t>Dirección</t>
  </si>
  <si>
    <t>Columna de dirección</t>
  </si>
  <si>
    <t>Estudio de longitudes requeridas por cardanes, quick release y rodamientos</t>
  </si>
  <si>
    <t>CAD chasis</t>
  </si>
  <si>
    <t>Esteban y Juan David</t>
  </si>
  <si>
    <t>DYM-DI-02</t>
  </si>
  <si>
    <t>Definición de disposición geométrica (Sketch)</t>
  </si>
  <si>
    <t>CAD chasis y posición volante</t>
  </si>
  <si>
    <t>Esteban</t>
  </si>
  <si>
    <t>DYM-DI-03</t>
  </si>
  <si>
    <t>Elección de tubo (Tomar fuerzas de design judges)</t>
  </si>
  <si>
    <t>-</t>
  </si>
  <si>
    <t>DYM-DI-04</t>
  </si>
  <si>
    <t>Elección de cardanes</t>
  </si>
  <si>
    <t>DYM-DI-05</t>
  </si>
  <si>
    <t>Elección de quick release</t>
  </si>
  <si>
    <t>Numero de pines electricos que deben pasar al volante</t>
  </si>
  <si>
    <t>DYM-DI-06</t>
  </si>
  <si>
    <t>Elección de rodamientos (Tomar fuerzas de design judges cockpit control forces)</t>
  </si>
  <si>
    <t>Distancia volante-soporte</t>
  </si>
  <si>
    <t>DYM-DI-07</t>
  </si>
  <si>
    <t>Diseño de columna</t>
  </si>
  <si>
    <t>CAD chasis actual y angulo de ackerman</t>
  </si>
  <si>
    <t>Atrasada</t>
  </si>
  <si>
    <t>DYM-DI-08</t>
  </si>
  <si>
    <t>Finitos a la soporte superior del la columna</t>
  </si>
  <si>
    <t>CAD chasis actual</t>
  </si>
  <si>
    <t>Alejo</t>
  </si>
  <si>
    <t>DYM-DI-09</t>
  </si>
  <si>
    <t>DYM-DI-10</t>
  </si>
  <si>
    <t>Brazos de dirección</t>
  </si>
  <si>
    <t>Elección de rótula</t>
  </si>
  <si>
    <t>Calculadora de torque de giro terminada</t>
  </si>
  <si>
    <t>Alejandro</t>
  </si>
  <si>
    <t>DYM-DI-11</t>
  </si>
  <si>
    <t xml:space="preserve">Elección de los tubos de la columna </t>
  </si>
  <si>
    <t>DYM-DI-12</t>
  </si>
  <si>
    <t>Diseño de insertos de brazos de dirección</t>
  </si>
  <si>
    <t>Eleccion de cardanes</t>
  </si>
  <si>
    <t>DYM-DI-13</t>
  </si>
  <si>
    <t>Subensamble</t>
  </si>
  <si>
    <t>DYM-DI-14</t>
  </si>
  <si>
    <t>DYM-DI-15</t>
  </si>
  <si>
    <t>Cotizaciones</t>
  </si>
  <si>
    <t>Actualizar el excel de precios/provedores</t>
  </si>
  <si>
    <t>Excel</t>
  </si>
  <si>
    <t>cotizaciones / provedores</t>
  </si>
  <si>
    <t>Juanda</t>
  </si>
  <si>
    <t>DYM-DI-16</t>
  </si>
  <si>
    <t>Definir mecanismo de union rack/columna</t>
  </si>
  <si>
    <t>Pieza/ ensamble CAD</t>
  </si>
  <si>
    <t>juanda</t>
  </si>
  <si>
    <t>DYM-DI-17</t>
  </si>
  <si>
    <t>Rack</t>
  </si>
  <si>
    <t>Determinar posicion y tipo de fijacion que tendra el rack en el chasis</t>
  </si>
  <si>
    <t>Angulo de ackerman / chasis actualizado</t>
  </si>
  <si>
    <t xml:space="preserve">Terminado </t>
  </si>
  <si>
    <t>DYM-DI-18</t>
  </si>
  <si>
    <t>Estudiar y definir ackerman</t>
  </si>
  <si>
    <t>Calculos</t>
  </si>
  <si>
    <t>Medidas chasis del actualizado</t>
  </si>
  <si>
    <t>DYM-DI-19</t>
  </si>
  <si>
    <t>Brazos de direccion</t>
  </si>
  <si>
    <t>Actualizar CAD de spacers de rotulas</t>
  </si>
  <si>
    <t>Nuevas horquillas del rack</t>
  </si>
  <si>
    <t>DYM-DI-20</t>
  </si>
  <si>
    <t>Calculos de suspension</t>
  </si>
  <si>
    <t>Esteban-juanda</t>
  </si>
  <si>
    <t>DYM-DI-21</t>
  </si>
  <si>
    <t>Actualizar ensamble CAD chasis actual</t>
  </si>
  <si>
    <t>DYM-DI-22</t>
  </si>
  <si>
    <t>Mecanismo para sacar la batería</t>
  </si>
  <si>
    <t>Reunion bateria/chasis</t>
  </si>
  <si>
    <t>microsubsistema</t>
  </si>
  <si>
    <t>DYM-DI-23</t>
  </si>
  <si>
    <t>Terminar calculos de momentos, esfuerzos y fuerzas de la columna</t>
  </si>
  <si>
    <t>DYM-DI-24</t>
  </si>
  <si>
    <t>Actualizar presupuesto y determinar precios y provedores de componentes nuevos</t>
  </si>
  <si>
    <t>Determinar provedores</t>
  </si>
  <si>
    <t>DYM-DI-25</t>
  </si>
  <si>
    <t>Determinar mecanismo de union de los bujes y rodamientos</t>
  </si>
  <si>
    <t>CAD</t>
  </si>
  <si>
    <t>Posicion del rack</t>
  </si>
  <si>
    <t>DYM-FR-001</t>
  </si>
  <si>
    <t>Frenos</t>
  </si>
  <si>
    <t>Definiciones</t>
  </si>
  <si>
    <t>Definir recorridos geométricos del pedal</t>
  </si>
  <si>
    <t>Definir longitudes de brazos de palanca</t>
  </si>
  <si>
    <t>Sophi y Daniel</t>
  </si>
  <si>
    <t>DYM-FR-002</t>
  </si>
  <si>
    <t>Definir posición del punto de aplicación del pie</t>
  </si>
  <si>
    <t>DYM-FR-003</t>
  </si>
  <si>
    <t>Definir longitudes de brazo</t>
  </si>
  <si>
    <t>definir ventaja mecanica deseada para la cantidad de fuerza a aplicar en el freno para bloquear las llantas</t>
  </si>
  <si>
    <t>DYM-FR-004</t>
  </si>
  <si>
    <t>Pedal</t>
  </si>
  <si>
    <t>No tiene</t>
  </si>
  <si>
    <t>Juan</t>
  </si>
  <si>
    <t>DYM-FR-005</t>
  </si>
  <si>
    <t xml:space="preserve">CAD </t>
  </si>
  <si>
    <t>Definir geometría de soportes y sujeciones</t>
  </si>
  <si>
    <t xml:space="preserve">Juan </t>
  </si>
  <si>
    <t>DYM-FR-006</t>
  </si>
  <si>
    <t>Ajustes geométricos derivados del FEM</t>
  </si>
  <si>
    <t>FEM</t>
  </si>
  <si>
    <t>todos</t>
  </si>
  <si>
    <t>DYM-FR-007</t>
  </si>
  <si>
    <t>Disposición</t>
  </si>
  <si>
    <t>Ubicar pedalera en el chasis</t>
  </si>
  <si>
    <t>Sophi</t>
  </si>
  <si>
    <t>DYM-FR-008</t>
  </si>
  <si>
    <t>Verificar que la pedalera cabe en el chasis</t>
  </si>
  <si>
    <t>Terminar modelación</t>
  </si>
  <si>
    <t>DYM-FR-009</t>
  </si>
  <si>
    <t>Verificar interferencias con dirección</t>
  </si>
  <si>
    <t>DYM-FR-010</t>
  </si>
  <si>
    <t>Verificar interferencias con suspensión</t>
  </si>
  <si>
    <t>DYM-FR-011</t>
  </si>
  <si>
    <t>Verificar interferencias con chasis</t>
  </si>
  <si>
    <t>Ana y Juan</t>
  </si>
  <si>
    <t>DYM-FR-013</t>
  </si>
  <si>
    <t>Evaluar accesibilidad para el piloto</t>
  </si>
  <si>
    <t>Modelo Blando</t>
  </si>
  <si>
    <t>DYM-FR-014</t>
  </si>
  <si>
    <t>Evaluar accesibilidad para montaje y mantenimiento</t>
  </si>
  <si>
    <t>DYM-FR-015</t>
  </si>
  <si>
    <t>Balance de Frenado</t>
  </si>
  <si>
    <t>Definir frenado objetivo</t>
  </si>
  <si>
    <t>DYM-FR-016</t>
  </si>
  <si>
    <t>Calcular transferencia de carga longitudinal</t>
  </si>
  <si>
    <t>Terminar cálculos iterativos</t>
  </si>
  <si>
    <t>DYM-FR-017</t>
  </si>
  <si>
    <t xml:space="preserve">Calcular fuerza requerida por el piloto para frenar </t>
  </si>
  <si>
    <t>DYM-FR-018</t>
  </si>
  <si>
    <t>Calcular par de frenado requerido por eje</t>
  </si>
  <si>
    <t>DYM-FR-019</t>
  </si>
  <si>
    <t>Verificar bloqueo de llantas</t>
  </si>
  <si>
    <t>DYM-FR-020</t>
  </si>
  <si>
    <t>Definir brake bias</t>
  </si>
  <si>
    <t>DYM-FR-021</t>
  </si>
  <si>
    <t>Evaluar sensibilidad del balance a cambios de μ</t>
  </si>
  <si>
    <t>DYM-FR-022</t>
  </si>
  <si>
    <t>Integración</t>
  </si>
  <si>
    <t>Integrar calipers finales</t>
  </si>
  <si>
    <t>DYM-FR-023</t>
  </si>
  <si>
    <t>Integrar pastillas con μ documentado</t>
  </si>
  <si>
    <t>DYM-FR-024</t>
  </si>
  <si>
    <t>Definir tamaño de discos</t>
  </si>
  <si>
    <t>DYM-FR-026</t>
  </si>
  <si>
    <t>Coordinar discos con bocines</t>
  </si>
  <si>
    <t>DYM-FR-028</t>
  </si>
  <si>
    <t>Integrar tornillería real (norma, diámetro, clase)</t>
  </si>
  <si>
    <t>Ana</t>
  </si>
  <si>
    <t>Terminada</t>
  </si>
  <si>
    <t>DYM-FR-029</t>
  </si>
  <si>
    <t>Coordinar con electrónica (BOTS / sensores si aplica)</t>
  </si>
  <si>
    <t>DYM-FR-030</t>
  </si>
  <si>
    <t>Cálculos de frenado</t>
  </si>
  <si>
    <t>Calcular fuerza en pastillas</t>
  </si>
  <si>
    <t>Definir pastillas</t>
  </si>
  <si>
    <t>DYM-FR-031</t>
  </si>
  <si>
    <t>Calcular fuerza requerida en el pedal (≤ 2000 N)</t>
  </si>
  <si>
    <t>Definir todos los componentes involucrados</t>
  </si>
  <si>
    <t>DYM-FR-032</t>
  </si>
  <si>
    <t>Calcular área efectiva de calipers</t>
  </si>
  <si>
    <t>Definir calipers</t>
  </si>
  <si>
    <t>DYM-FR-033</t>
  </si>
  <si>
    <t>Comparar cilindros maestros</t>
  </si>
  <si>
    <t>Defirnir propiedades requeridas</t>
  </si>
  <si>
    <t>DYM-FR-034</t>
  </si>
  <si>
    <t>Calcular recorrido hidráulico</t>
  </si>
  <si>
    <t xml:space="preserve">Definir cilindros </t>
  </si>
  <si>
    <t>DYM-FR-035</t>
  </si>
  <si>
    <t>Calcular recorrido total del pedal</t>
  </si>
  <si>
    <t xml:space="preserve">Definir Componentes </t>
  </si>
  <si>
    <t>DYM-FR-036</t>
  </si>
  <si>
    <t>Cálculos térmicos</t>
  </si>
  <si>
    <t>Calcular energía disipada por frenada</t>
  </si>
  <si>
    <t>Rotor definido</t>
  </si>
  <si>
    <t>DYM-FR-037</t>
  </si>
  <si>
    <t>Estimar temperatura de discos</t>
  </si>
  <si>
    <t>DYM-FR-038</t>
  </si>
  <si>
    <t>Evaluar brake fade</t>
  </si>
  <si>
    <t>DYM-FR-039</t>
  </si>
  <si>
    <t>Modelar pedal del freno</t>
  </si>
  <si>
    <t xml:space="preserve">Definir ergonomía y relaciones </t>
  </si>
  <si>
    <t>Daniel y Sophi</t>
  </si>
  <si>
    <t>DYM-FR-040</t>
  </si>
  <si>
    <t>Modelar soportes de pedalera</t>
  </si>
  <si>
    <t>CAD pedalera</t>
  </si>
  <si>
    <t>DYM-FR-041</t>
  </si>
  <si>
    <t>Diseñar sujeciones al chasis</t>
  </si>
  <si>
    <t>DYM-FR-042</t>
  </si>
  <si>
    <t>Integrar tornillería completa</t>
  </si>
  <si>
    <t>CAD pedalera orgaizado</t>
  </si>
  <si>
    <t>DYM-FR-043</t>
  </si>
  <si>
    <t>Modelar preliminarmente rotores</t>
  </si>
  <si>
    <t xml:space="preserve">Definir parámetro </t>
  </si>
  <si>
    <t>DYM-FR-044</t>
  </si>
  <si>
    <t xml:space="preserve">Modelar cilindros maestros </t>
  </si>
  <si>
    <t xml:space="preserve">Revisar referencias </t>
  </si>
  <si>
    <t>Modelar Calipers</t>
  </si>
  <si>
    <t>DYM-FR-045</t>
  </si>
  <si>
    <t xml:space="preserve">Diseño pedalera </t>
  </si>
  <si>
    <t>DYM-FR-046</t>
  </si>
  <si>
    <t>Definir cargas FEM (2000 N en pedal)</t>
  </si>
  <si>
    <t>DYM-FR-047</t>
  </si>
  <si>
    <t>Definir condiciones de frontera FEM</t>
  </si>
  <si>
    <t>Tener los CAD para FEM</t>
  </si>
  <si>
    <t>DYM-FR-048</t>
  </si>
  <si>
    <t>Ejecutar FEM de soportes</t>
  </si>
  <si>
    <t>DYM-FR-049</t>
  </si>
  <si>
    <t>Ejecutar FEM del pedal</t>
  </si>
  <si>
    <t>CAD pedal</t>
  </si>
  <si>
    <t>DYM-FR-050</t>
  </si>
  <si>
    <t>Ejecutar FEM de pedalera completa</t>
  </si>
  <si>
    <t>DYM-FR-051</t>
  </si>
  <si>
    <t>Identificar zonas críticas pedalera y lineas</t>
  </si>
  <si>
    <t>Definicion de lines y pedalera</t>
  </si>
  <si>
    <t>Juan y Daniel</t>
  </si>
  <si>
    <t>DYM-FR-052</t>
  </si>
  <si>
    <t>Analizar mapas de calor</t>
  </si>
  <si>
    <t>Juan, Daniel, Sophi</t>
  </si>
  <si>
    <t>DYM-FR-053</t>
  </si>
  <si>
    <t xml:space="preserve">Iterar geometría y/o material Brazo Freno </t>
  </si>
  <si>
    <t>DYM-FR-054</t>
  </si>
  <si>
    <t>Confirmar factor de seguridad ≥ 2</t>
  </si>
  <si>
    <t>No Definido</t>
  </si>
  <si>
    <t>DYM-FR-055</t>
  </si>
  <si>
    <t>Estudio de percentiles 5–95</t>
  </si>
  <si>
    <t>DYM-FR-056</t>
  </si>
  <si>
    <t>Análisis de ángulos tobillo–rodilla</t>
  </si>
  <si>
    <t>DYM-FR-057</t>
  </si>
  <si>
    <t>Definir recorridos cómodos</t>
  </si>
  <si>
    <t>DYM-FR-058</t>
  </si>
  <si>
    <t>Validar ergonomía con modelo blando</t>
  </si>
  <si>
    <t>Ana y Sophi</t>
  </si>
  <si>
    <t>DYM-FR-059</t>
  </si>
  <si>
    <t>Validar ergonomía con modelo duro</t>
  </si>
  <si>
    <t xml:space="preserve">Modelo duro y parametros de ergonomia </t>
  </si>
  <si>
    <t>DYM-FR-060</t>
  </si>
  <si>
    <t>Ajustar diseño según feedback físico</t>
  </si>
  <si>
    <t xml:space="preserve">Modelo blando </t>
  </si>
  <si>
    <t>DYM-FR-061</t>
  </si>
  <si>
    <t>Modelos físicos</t>
  </si>
  <si>
    <t>Construir modelo blando</t>
  </si>
  <si>
    <t>Modelo blando</t>
  </si>
  <si>
    <t>CAD mayormente finalizado</t>
  </si>
  <si>
    <t>DYM-FR-062</t>
  </si>
  <si>
    <t>Evaluar rigidez percibida</t>
  </si>
  <si>
    <t>DYM-FR-063</t>
  </si>
  <si>
    <t>Identificar problemas de acceso</t>
  </si>
  <si>
    <t>DYM-FR-064</t>
  </si>
  <si>
    <t>Construir modelo duro</t>
  </si>
  <si>
    <t>Modelo duro</t>
  </si>
  <si>
    <t>DYM-FR-065</t>
  </si>
  <si>
    <t>Validar funcionamiento básico</t>
  </si>
  <si>
    <t>DYM-FR-066</t>
  </si>
  <si>
    <t>Seguridad, costo y cierre</t>
  </si>
  <si>
    <t>Análisis de modos de falla</t>
  </si>
  <si>
    <t>Informe</t>
  </si>
  <si>
    <t>Tener el modelo y diseño finalizado</t>
  </si>
  <si>
    <t>DYM-FR-067</t>
  </si>
  <si>
    <t>Verificación de reglas FSAE</t>
  </si>
  <si>
    <t xml:space="preserve">Tener Reglamento actualizado </t>
  </si>
  <si>
    <t>DYM-FR-068</t>
  </si>
  <si>
    <t>Presupuestación detallada</t>
  </si>
  <si>
    <t>DYM-FR-069</t>
  </si>
  <si>
    <t>Estimación de peso del sistema</t>
  </si>
  <si>
    <t>terminado</t>
  </si>
  <si>
    <t>DYM-FR-070</t>
  </si>
  <si>
    <t>Congelación del diseño</t>
  </si>
  <si>
    <t>Iteraciones totalmente finalizadas</t>
  </si>
  <si>
    <t>DYM-SU-001</t>
  </si>
  <si>
    <t>Suspensión</t>
  </si>
  <si>
    <t>Geometría</t>
  </si>
  <si>
    <t>Rehacer calculadora steering torque</t>
  </si>
  <si>
    <t>Asesoría</t>
  </si>
  <si>
    <t>Lara y Ana</t>
  </si>
  <si>
    <t>DYM-SU-002</t>
  </si>
  <si>
    <t>Defir trail y scrub radius (Max restoring torque at acceptable steering effort)</t>
  </si>
  <si>
    <t>DYM-SU-003</t>
  </si>
  <si>
    <t>Definir camber gain en bump y droop (Delantero y trasero)</t>
  </si>
  <si>
    <t>Sensibilidad angular de aerodinámica</t>
  </si>
  <si>
    <t>Wiwi</t>
  </si>
  <si>
    <t>DYM-SU-004</t>
  </si>
  <si>
    <t>Rehacer en Vsusp</t>
  </si>
  <si>
    <t>Vsusp</t>
  </si>
  <si>
    <t>DYM-SU-005</t>
  </si>
  <si>
    <t>Iterar con CAD</t>
  </si>
  <si>
    <t>DYM-SU-006</t>
  </si>
  <si>
    <t>Sketch en CAD (Posición de rocker, shock, roll bar y sus anclajes)</t>
  </si>
  <si>
    <t>Wiwi y juanjo</t>
  </si>
  <si>
    <t>DYM-SU-007</t>
  </si>
  <si>
    <t xml:space="preserve">Cálculo de fuerzas en suspensión solver </t>
  </si>
  <si>
    <t>DYM-SU-008</t>
  </si>
  <si>
    <t>Elección de rodamientos rocker</t>
  </si>
  <si>
    <t>DYM-SU-009</t>
  </si>
  <si>
    <t>Análisis FEA</t>
  </si>
  <si>
    <t>Wiwi y Juanjo</t>
  </si>
  <si>
    <t>En proceso</t>
  </si>
  <si>
    <t>DYM-SU-010</t>
  </si>
  <si>
    <t>Iteración</t>
  </si>
  <si>
    <t>FEM suspen-chasis</t>
  </si>
  <si>
    <t>DYM-SU-011</t>
  </si>
  <si>
    <t>EDA roll bar</t>
  </si>
  <si>
    <t>DYM-SU-012</t>
  </si>
  <si>
    <t>Definición de geometría y elementos roll bar</t>
  </si>
  <si>
    <t>Altura centro de masa</t>
  </si>
  <si>
    <t>DYM-SU-013</t>
  </si>
  <si>
    <t>CAD roll bar</t>
  </si>
  <si>
    <t>DYM-SU-014</t>
  </si>
  <si>
    <t xml:space="preserve">Balance    </t>
  </si>
  <si>
    <t>EDA calculadora ideal LLT (Maxima capacidad de giro en giro de interés)</t>
  </si>
  <si>
    <t>DYM-SU-015</t>
  </si>
  <si>
    <t>Definición LLT ideal</t>
  </si>
  <si>
    <t>DYM-SU-016</t>
  </si>
  <si>
    <t xml:space="preserve">Definir LLT actual </t>
  </si>
  <si>
    <t>DYM-SU-017</t>
  </si>
  <si>
    <t>Completar LLT con roll bar</t>
  </si>
  <si>
    <t>DYM-SU-018</t>
  </si>
  <si>
    <t>Integración y CAD</t>
  </si>
  <si>
    <t>Cambio de bocin trasero y tripode hembra (externo a bocín)</t>
  </si>
  <si>
    <t>Nico T</t>
  </si>
  <si>
    <t>DYM-SU-019</t>
  </si>
  <si>
    <t>Definición geometría trasera junto a transmisión (Recorrio y cambio angular del semieje)</t>
  </si>
  <si>
    <t>Posición diferencial</t>
  </si>
  <si>
    <t>DYM-SU-020</t>
  </si>
  <si>
    <t>Ensamble rueda para confirmacion de diametro</t>
  </si>
  <si>
    <t>Disco de freno CAD</t>
  </si>
  <si>
    <t>Nico T y Pipe</t>
  </si>
  <si>
    <t>DYM-SU-021</t>
  </si>
  <si>
    <t>Definición de diametros de disco trasero junto a frenos</t>
  </si>
  <si>
    <t>Disco de freno y caliper CAD</t>
  </si>
  <si>
    <t>DYM-SU-022</t>
  </si>
  <si>
    <t>Definición montaje de disco trasero</t>
  </si>
  <si>
    <t>DYM-SU-023</t>
  </si>
  <si>
    <t>Revisión calculadora de fuerzas bocín</t>
  </si>
  <si>
    <t>DYM-SU-024</t>
  </si>
  <si>
    <t>Iterar geometría bocín trasero</t>
  </si>
  <si>
    <t>DYM-SU-025</t>
  </si>
  <si>
    <t>Elección rodamientos traseros</t>
  </si>
  <si>
    <t>DYM-SU-026</t>
  </si>
  <si>
    <t>Iterar bocín trasero a detalle</t>
  </si>
  <si>
    <t>DYM-SU-027</t>
  </si>
  <si>
    <t>Definición de diametros de disco delantero junto a frenos</t>
  </si>
  <si>
    <t>Disco de freno CAD y caliper CAD</t>
  </si>
  <si>
    <t>DYM-SU-028</t>
  </si>
  <si>
    <t>Definición geométrica bocín delantero</t>
  </si>
  <si>
    <t>DYM-SU-029</t>
  </si>
  <si>
    <t>Calcular fuerzas bocín delantero</t>
  </si>
  <si>
    <t>DYM-SU-030</t>
  </si>
  <si>
    <t>Iterar geometría</t>
  </si>
  <si>
    <t>DYM-SU-031</t>
  </si>
  <si>
    <t>Elección de rodamientos delanteros</t>
  </si>
  <si>
    <t>DYM-SU-032</t>
  </si>
  <si>
    <t>Iterar bocín delantero a detalle</t>
  </si>
  <si>
    <t>DYM-SU-033</t>
  </si>
  <si>
    <t>Definición montaje de caliper trasero junto a frenos</t>
  </si>
  <si>
    <t>Caliper CAD</t>
  </si>
  <si>
    <t>DYM-SU-034</t>
  </si>
  <si>
    <t>Definición espacial de puntos de apoyo mangueta trasera</t>
  </si>
  <si>
    <t>Chasis CAD</t>
  </si>
  <si>
    <t>DYM-SU-035</t>
  </si>
  <si>
    <t>Definición geométrica puntos de apoyo mangueta trasera</t>
  </si>
  <si>
    <t>DYM-SU-036</t>
  </si>
  <si>
    <t>CAD mangueta trasera</t>
  </si>
  <si>
    <t>DYM-SU-037</t>
  </si>
  <si>
    <t>Ensamble trasero</t>
  </si>
  <si>
    <t>DYM-SU-038</t>
  </si>
  <si>
    <t>FEA Mangueta trasera</t>
  </si>
  <si>
    <t>DYM-SU-039</t>
  </si>
  <si>
    <t>Iter 1 Mangueta trasera</t>
  </si>
  <si>
    <t>DYM-SU-040</t>
  </si>
  <si>
    <t>Iter 2 Mangueta trasera</t>
  </si>
  <si>
    <t>DYM-SU-041</t>
  </si>
  <si>
    <t>Definición montaje de caliper delantero junto a frenos</t>
  </si>
  <si>
    <t>DYM-SU-042</t>
  </si>
  <si>
    <t>Definición espacial de puntos de apoyo mangueta delantera</t>
  </si>
  <si>
    <t>DYM-SU-043</t>
  </si>
  <si>
    <t>Definición geométrica puntos de apoyo mangueta delantera</t>
  </si>
  <si>
    <t>DYM-SU-044</t>
  </si>
  <si>
    <t>CAD mangueta delantera</t>
  </si>
  <si>
    <t>DYM-SU-045</t>
  </si>
  <si>
    <t>Ensamble delantera</t>
  </si>
  <si>
    <t>DYM-SU-046</t>
  </si>
  <si>
    <t>FEA Mangueta delantera</t>
  </si>
  <si>
    <t>DYM-SU-047</t>
  </si>
  <si>
    <t>Iter 1 Mangueta delantera</t>
  </si>
  <si>
    <t>DYM-SU-048</t>
  </si>
  <si>
    <t>Iter 2 Mangueta delantera</t>
  </si>
  <si>
    <t>DYM-SU-049</t>
  </si>
  <si>
    <t>CAD rocker</t>
  </si>
  <si>
    <t>DYM-SU-050</t>
  </si>
  <si>
    <t>CAD sujeciones</t>
  </si>
  <si>
    <t>DYM-SU-051</t>
  </si>
  <si>
    <t>Ensamble general sistema de suspensión</t>
  </si>
  <si>
    <t>CAD chasis y dirección</t>
  </si>
  <si>
    <t>DYM-SU-052</t>
  </si>
  <si>
    <t>Matriz de soldadura wishbones, push rod, toe link</t>
  </si>
  <si>
    <t>DXF</t>
  </si>
  <si>
    <t>Matriz de soldadura chasis</t>
  </si>
  <si>
    <t>DYM-SU-053</t>
  </si>
  <si>
    <t>Planos bujes para rótulas y rodamiento esférico</t>
  </si>
  <si>
    <t>DYM-SU-054</t>
  </si>
  <si>
    <t>Planos generales rocker y láminas</t>
  </si>
  <si>
    <t>DYM-SU-055</t>
  </si>
  <si>
    <t>Planos detalle bocines</t>
  </si>
  <si>
    <t>DYM-SU-056</t>
  </si>
  <si>
    <t>Planos generales mangueta trasera</t>
  </si>
  <si>
    <t>DYM-SU-057</t>
  </si>
  <si>
    <t>Planos generales mangueta delantera</t>
  </si>
  <si>
    <t>DYM-SU-058</t>
  </si>
  <si>
    <t>Matriz de soldadura sujeciones</t>
  </si>
  <si>
    <t>DYM-SU-059</t>
  </si>
  <si>
    <t>BOM final</t>
  </si>
  <si>
    <t>DYM-TR-001</t>
  </si>
  <si>
    <t>Transmisión</t>
  </si>
  <si>
    <t>Gestionar  Nueva Cotización del diferencia</t>
  </si>
  <si>
    <t>Calculos en excel</t>
  </si>
  <si>
    <t>Tomas</t>
  </si>
  <si>
    <t>DYM-TR-002</t>
  </si>
  <si>
    <t>Actualizar BOM</t>
  </si>
  <si>
    <t>DYM-TR-003</t>
  </si>
  <si>
    <t>Cubre-cadenas</t>
  </si>
  <si>
    <t>Revisar geometría</t>
  </si>
  <si>
    <t>Gom</t>
  </si>
  <si>
    <t>DYM-TR-004</t>
  </si>
  <si>
    <t>Redefinir puntos de sujeción</t>
  </si>
  <si>
    <t>Migue</t>
  </si>
  <si>
    <t>DYM-TR-005</t>
  </si>
  <si>
    <t>Diseñar soportes</t>
  </si>
  <si>
    <t>DYM-TR-006</t>
  </si>
  <si>
    <t>Verificar montaje rápido</t>
  </si>
  <si>
    <t>CAD porta diferenciales</t>
  </si>
  <si>
    <t>DYM-TR-007</t>
  </si>
  <si>
    <t>Porta-diferencial</t>
  </si>
  <si>
    <t>Definir patrón</t>
  </si>
  <si>
    <t>DYM-TR-008</t>
  </si>
  <si>
    <t>Revisar puntos existentes</t>
  </si>
  <si>
    <t>Definir Patrón</t>
  </si>
  <si>
    <t>DYM-TR-009</t>
  </si>
  <si>
    <t>Verificar alineación</t>
  </si>
  <si>
    <t>DYM-TR-010</t>
  </si>
  <si>
    <t>Definir cargas</t>
  </si>
  <si>
    <t>DYM-TR-011</t>
  </si>
  <si>
    <t>Simulación inicial</t>
  </si>
  <si>
    <t>DYM-TR-012</t>
  </si>
  <si>
    <t>Aliviar material</t>
  </si>
  <si>
    <t>Estudio FEM Y CAD</t>
  </si>
  <si>
    <t>DYM-TR-013</t>
  </si>
  <si>
    <t>Eliminar ítems obsoletos</t>
  </si>
  <si>
    <t>DYM-TR-014</t>
  </si>
  <si>
    <t>Comparar proveedores</t>
  </si>
  <si>
    <t>DYM-TR-015</t>
  </si>
  <si>
    <t>Plan de Manufactura</t>
  </si>
  <si>
    <t>Identificar qué se fabrica y qué se compra</t>
  </si>
  <si>
    <t>Excel y documento</t>
  </si>
  <si>
    <t>Juan y tomas</t>
  </si>
  <si>
    <t>DYM-TR-016</t>
  </si>
  <si>
    <t>Selección de procesos de manufactura</t>
  </si>
  <si>
    <t>DYM-TR-017</t>
  </si>
  <si>
    <t>Planificación de operaciones</t>
  </si>
  <si>
    <t>Documento Word</t>
  </si>
  <si>
    <t>DYM-TR-018</t>
  </si>
  <si>
    <t>Plan de ensamble</t>
  </si>
  <si>
    <t>ELE-BA-001</t>
  </si>
  <si>
    <t>Electrónica</t>
  </si>
  <si>
    <t>Batería</t>
  </si>
  <si>
    <t>Diseño a detalle</t>
  </si>
  <si>
    <t>Finalizacion Diseño CSDC</t>
  </si>
  <si>
    <t>Fusion</t>
  </si>
  <si>
    <t xml:space="preserve"> -</t>
  </si>
  <si>
    <t>ELE-BA-002</t>
  </si>
  <si>
    <t>Finalizacion Diseño VI</t>
  </si>
  <si>
    <t>ELE-BA-003</t>
  </si>
  <si>
    <t>Finalizacion Diseño TSSI</t>
  </si>
  <si>
    <t>ELE-BA-004</t>
  </si>
  <si>
    <t>Finalizacion Diseño BSPD</t>
  </si>
  <si>
    <t>Pablo</t>
  </si>
  <si>
    <t>ELE-BA-005</t>
  </si>
  <si>
    <t>Finalizacion Diseño PRECHARGE</t>
  </si>
  <si>
    <t>ELE-BA-006</t>
  </si>
  <si>
    <t>Reunion en conjunto con Potencia con Andy</t>
  </si>
  <si>
    <t>Potencia y Andy</t>
  </si>
  <si>
    <t>ELE-BA-007</t>
  </si>
  <si>
    <t>Refinamiento CSDC, VI, TSSI, BSPD</t>
  </si>
  <si>
    <t>Finalizacion Diseño CSDC, VI, TSSI, BSPD</t>
  </si>
  <si>
    <t>ELE-BA-008</t>
  </si>
  <si>
    <t>Refinamiento PRECHARGE</t>
  </si>
  <si>
    <t>Finalizacion Diseño Precharge</t>
  </si>
  <si>
    <t>ELE-BA-009</t>
  </si>
  <si>
    <t>Definicion de componentes para PCB de los planos</t>
  </si>
  <si>
    <t>Archivo documental</t>
  </si>
  <si>
    <t>Refinamiento CSDC, VI, TSSI, BSPD, PRECHARGE</t>
  </si>
  <si>
    <t>ELE-BA-010</t>
  </si>
  <si>
    <t>Matriz de decision Handcart</t>
  </si>
  <si>
    <t>Valerin</t>
  </si>
  <si>
    <t>ELE-BA-011</t>
  </si>
  <si>
    <t>Matriz de decision Deadman Brake</t>
  </si>
  <si>
    <t>ELE-BA-012</t>
  </si>
  <si>
    <t>Investigacion y background de equipos</t>
  </si>
  <si>
    <t>Valerin e Isabel</t>
  </si>
  <si>
    <t>ELE-BA-013</t>
  </si>
  <si>
    <t>Diseño Handcart</t>
  </si>
  <si>
    <t>ELE-BA-014</t>
  </si>
  <si>
    <t>Diseño Deadman Brake</t>
  </si>
  <si>
    <t>ELE-BA-015</t>
  </si>
  <si>
    <t>Dimensionamiento del handcart acorde a la bateria y cargador</t>
  </si>
  <si>
    <t>Diseño Handcart y Deadman Brake</t>
  </si>
  <si>
    <t>ELE-BA-016</t>
  </si>
  <si>
    <t>Sistema Deadman Brake</t>
  </si>
  <si>
    <t>ELE-BA-017</t>
  </si>
  <si>
    <t>CAD Inicial</t>
  </si>
  <si>
    <t>Dimensionamiento y Diseño del Handcart/Deadman Brake</t>
  </si>
  <si>
    <t>Isabel</t>
  </si>
  <si>
    <t>ELE-BA-018</t>
  </si>
  <si>
    <t>Reunion con frenos para CAD del Deadman Brake</t>
  </si>
  <si>
    <t>Matriz de decision Deadman Brake | Disponibilidad de Frenos</t>
  </si>
  <si>
    <t>ELE-BA-019</t>
  </si>
  <si>
    <t>Lista de materiales</t>
  </si>
  <si>
    <t>Matriz de decision Materiales</t>
  </si>
  <si>
    <t>Isabel y Valerin</t>
  </si>
  <si>
    <t>ELE-BA-020</t>
  </si>
  <si>
    <t>Lista de componentes hand cart</t>
  </si>
  <si>
    <t>ELE-BA-021</t>
  </si>
  <si>
    <t>Matriz de decision Materiales hand cart</t>
  </si>
  <si>
    <t>ELE-BA-022</t>
  </si>
  <si>
    <t>Dimensionamiento</t>
  </si>
  <si>
    <t>Lista de materiales, CAD Inicial</t>
  </si>
  <si>
    <t>ELE-BA-025</t>
  </si>
  <si>
    <t>Toma de restricciones del reglamento</t>
  </si>
  <si>
    <t>Reglamento</t>
  </si>
  <si>
    <t>ELE-BA-026</t>
  </si>
  <si>
    <t>Decisiones Respecto a componentes de la PCB</t>
  </si>
  <si>
    <t>ELE-BA-027</t>
  </si>
  <si>
    <t>Diseño de superficie de la PCB</t>
  </si>
  <si>
    <t>Planos Electricos finalizados</t>
  </si>
  <si>
    <t>ELE-BA-028</t>
  </si>
  <si>
    <t>Diseño de capas</t>
  </si>
  <si>
    <t>Diseño de superficie</t>
  </si>
  <si>
    <t>ELE-BA-029</t>
  </si>
  <si>
    <t>Conexion de elementos</t>
  </si>
  <si>
    <t>Juan e Isabel</t>
  </si>
  <si>
    <t>ELE-BA-030</t>
  </si>
  <si>
    <t>Primer Adelanto</t>
  </si>
  <si>
    <t>ELE-BA-031</t>
  </si>
  <si>
    <t>Revision Reglamento</t>
  </si>
  <si>
    <t>ELE-BA-032</t>
  </si>
  <si>
    <t>Ajustes de detalles (valores de los componentes, nomenclatura de los pines)</t>
  </si>
  <si>
    <t>Primer Adelanto, Reunion de Electronica, Revision Reglamento</t>
  </si>
  <si>
    <t>ELE-BA-033</t>
  </si>
  <si>
    <t>Diseño Final</t>
  </si>
  <si>
    <t>Ajustes</t>
  </si>
  <si>
    <t>ELE-BA-034</t>
  </si>
  <si>
    <t>Reunion con chasis respecto al dimensionamiento.</t>
  </si>
  <si>
    <t>Pablo  y Juan</t>
  </si>
  <si>
    <t>ELE-BA-035</t>
  </si>
  <si>
    <t>Reunion con chasis</t>
  </si>
  <si>
    <t>ELE-BA-036</t>
  </si>
  <si>
    <t>Pablo y Juan</t>
  </si>
  <si>
    <t>ELE-BA-037</t>
  </si>
  <si>
    <t>Reunion con DyM</t>
  </si>
  <si>
    <t>ELE-BA-038</t>
  </si>
  <si>
    <t>Reuniones con chasis y DyM</t>
  </si>
  <si>
    <t>ELE-BA-039</t>
  </si>
  <si>
    <t>CAD Freeze (Por parte de  Bateria)</t>
  </si>
  <si>
    <t>Ajustes finales</t>
  </si>
  <si>
    <t>ELE-BA-040</t>
  </si>
  <si>
    <t>Compras</t>
  </si>
  <si>
    <t>Armado de cotizaciones</t>
  </si>
  <si>
    <t>Correos</t>
  </si>
  <si>
    <t>ELE-BA-041</t>
  </si>
  <si>
    <t>Envio de cotizaciones</t>
  </si>
  <si>
    <t>Lideres y Juan</t>
  </si>
  <si>
    <t>ELE-BA-042</t>
  </si>
  <si>
    <t>refinación de detalles (verificación de costos, conteo exacto de componentes, eliminación de componentes que ya no se usarán)</t>
  </si>
  <si>
    <t>Respuesta a las cotizaciones</t>
  </si>
  <si>
    <t>ELE-BA-044</t>
  </si>
  <si>
    <t>Reunion con Direccion de Proyecto</t>
  </si>
  <si>
    <t>Definicion compras MVP</t>
  </si>
  <si>
    <t>Lideres y Cotizaciones parciales</t>
  </si>
  <si>
    <t>ELE-BA-046</t>
  </si>
  <si>
    <t>BOM CAD</t>
  </si>
  <si>
    <t>Hoja en archivo BOM</t>
  </si>
  <si>
    <t>CAD Freeze</t>
  </si>
  <si>
    <t>ELE-BA-047</t>
  </si>
  <si>
    <t>BOM Planos Electricos</t>
  </si>
  <si>
    <t>Diseño Final PCB y Planos</t>
  </si>
  <si>
    <t>ELE-BA-048</t>
  </si>
  <si>
    <t>BOM Handcart</t>
  </si>
  <si>
    <t>Diseño Final Handcart</t>
  </si>
  <si>
    <t>ELE-BA-049</t>
  </si>
  <si>
    <t>BOM Definitivo conjunto</t>
  </si>
  <si>
    <t>BOM CAD, Planos y Handcart</t>
  </si>
  <si>
    <t>ELE-BA-050</t>
  </si>
  <si>
    <t>Informe Preliminar BOM</t>
  </si>
  <si>
    <t>ELE-BA-051</t>
  </si>
  <si>
    <t>Recopilación de Datasheets y manuales</t>
  </si>
  <si>
    <t>Carpeta en el sharepoint llena de documentos de todos los componentes</t>
  </si>
  <si>
    <t>BOM Completado</t>
  </si>
  <si>
    <t>ELE-BA-052</t>
  </si>
  <si>
    <t>Plan de pruebas</t>
  </si>
  <si>
    <t>Diseño de pruebas de banco</t>
  </si>
  <si>
    <t>BOM terminado con componentes necesarios</t>
  </si>
  <si>
    <t>ELE-BA-053</t>
  </si>
  <si>
    <t>Pruebas de interfaz (BMS)</t>
  </si>
  <si>
    <t>Juan, Pablo, Telemetría</t>
  </si>
  <si>
    <t>ELE-BA-054</t>
  </si>
  <si>
    <t>Pruebas componentes externos (IMD y BMS)</t>
  </si>
  <si>
    <t>Juan y Pablo</t>
  </si>
  <si>
    <t>ELE-BA-055</t>
  </si>
  <si>
    <t>Pruebas fisicas de celdas (individuales)</t>
  </si>
  <si>
    <t>ELE-BA-056</t>
  </si>
  <si>
    <t>Pruebas Carga y Descarga</t>
  </si>
  <si>
    <t>ELE-BA-057</t>
  </si>
  <si>
    <t>Pruebas por Modulo</t>
  </si>
  <si>
    <t>ELE-BA-058</t>
  </si>
  <si>
    <t>Preliminares enrutamiento de cableado</t>
  </si>
  <si>
    <t>ELE-BA-059</t>
  </si>
  <si>
    <t>Pruebas de resistencia mecanica e impermeabillidad (contenedor)</t>
  </si>
  <si>
    <t>ELE-BA-060</t>
  </si>
  <si>
    <t>Pruebas PCBs y circuitos externos al Tractive Battery Pack</t>
  </si>
  <si>
    <t>ELE-BA-061</t>
  </si>
  <si>
    <t>Prueba integral de subsistema</t>
  </si>
  <si>
    <t>ELE-BA-063</t>
  </si>
  <si>
    <t>Iteración de la Batería más larga y menos ancha</t>
  </si>
  <si>
    <t>ensamble solid</t>
  </si>
  <si>
    <t>ELE-BA-064</t>
  </si>
  <si>
    <t>Diseño Definitivo Planos Eléctricos</t>
  </si>
  <si>
    <t>Juan y Valerin</t>
  </si>
  <si>
    <t>ELE-BA-065</t>
  </si>
  <si>
    <t>Diseño PCB’s</t>
  </si>
  <si>
    <t>Isabel y Juan</t>
  </si>
  <si>
    <t>ELE-BA-066</t>
  </si>
  <si>
    <t>Revisión y Actualización del BOM</t>
  </si>
  <si>
    <t>ELE-BA-067</t>
  </si>
  <si>
    <t>Definir ubicación conectores en el ensamble</t>
  </si>
  <si>
    <t>ELE-BA-068</t>
  </si>
  <si>
    <t>Definición de Componentes dentro del contenedor</t>
  </si>
  <si>
    <t>ELE-BA-069</t>
  </si>
  <si>
    <t>Chaflanes del Contendor, Integración con Chasis</t>
  </si>
  <si>
    <t>ELE-BA-070</t>
  </si>
  <si>
    <t>Ubicación BMS en el Contenedor</t>
  </si>
  <si>
    <t>ELE-BA-071</t>
  </si>
  <si>
    <t>Hacer el reajuste de posición del módulo de expansión de termistores</t>
  </si>
  <si>
    <t>ELE-BA-072</t>
  </si>
  <si>
    <t>Ubicación IMD</t>
  </si>
  <si>
    <t>ELE-BA-073</t>
  </si>
  <si>
    <t>Contactar empresa samples fusibles</t>
  </si>
  <si>
    <t>ELE-BA-074</t>
  </si>
  <si>
    <t>Batería LV Detallada</t>
  </si>
  <si>
    <t>ELE-BA-075</t>
  </si>
  <si>
    <t>Enviar Pesos a Chasis</t>
  </si>
  <si>
    <t>Juan, Pablo y Valerin</t>
  </si>
  <si>
    <t>ELE-BA-076</t>
  </si>
  <si>
    <t>Charging SC</t>
  </si>
  <si>
    <t>ELE-BA-077</t>
  </si>
  <si>
    <t>Revisión Reglamento</t>
  </si>
  <si>
    <t>ELE-BA-078</t>
  </si>
  <si>
    <t>Conectores LV</t>
  </si>
  <si>
    <t>Juan y valerin</t>
  </si>
  <si>
    <t>ELE-BA-079</t>
  </si>
  <si>
    <t>Nuevo Case Batería LV</t>
  </si>
  <si>
    <t>ELE-BA-080</t>
  </si>
  <si>
    <t>PCB Charging</t>
  </si>
  <si>
    <t>ELE-BA-081</t>
  </si>
  <si>
    <t>Cotización Handcart</t>
  </si>
  <si>
    <t>ELE-BA-082</t>
  </si>
  <si>
    <t>Cambiar CAD Batería</t>
  </si>
  <si>
    <t>ELE-BA-083</t>
  </si>
  <si>
    <t>PCB Ready To Move Light</t>
  </si>
  <si>
    <t>ELE-BA-084</t>
  </si>
  <si>
    <t>Plano Eléctrico Ready To Move Light</t>
  </si>
  <si>
    <t>ELE-BA-085</t>
  </si>
  <si>
    <t>Añadir Precharge port al CAD</t>
  </si>
  <si>
    <t>ELE-BA-086</t>
  </si>
  <si>
    <t>Case 2 Batería LV</t>
  </si>
  <si>
    <t>ELE-BA-087</t>
  </si>
  <si>
    <t>Revisión PCB’s</t>
  </si>
  <si>
    <t>ELE-BA-088</t>
  </si>
  <si>
    <t>Revisión Pruebas</t>
  </si>
  <si>
    <t>ELE-BA-089</t>
  </si>
  <si>
    <t>Galvanic isolation (Cad y Reglamentción)</t>
  </si>
  <si>
    <t>ELE-BA-090</t>
  </si>
  <si>
    <t>Buscar modelo de fusible</t>
  </si>
  <si>
    <t>Juan, Valerin e Isa</t>
  </si>
  <si>
    <t>ELE-BA-091</t>
  </si>
  <si>
    <t>Sujeciones CAD</t>
  </si>
  <si>
    <t>Juan, Pablo y valerin</t>
  </si>
  <si>
    <t>ELE-BA-092</t>
  </si>
  <si>
    <t>Cables AWG 1/0 CAD</t>
  </si>
  <si>
    <t>ELE-PO-001</t>
  </si>
  <si>
    <t>Potencia</t>
  </si>
  <si>
    <t>Ensable caja HV</t>
  </si>
  <si>
    <t>Ensamble solid</t>
  </si>
  <si>
    <t>Componentes 100% definidos</t>
  </si>
  <si>
    <t>Sofia</t>
  </si>
  <si>
    <t>ELE-PO-002</t>
  </si>
  <si>
    <t>Diseño tapas caja HV y LV</t>
  </si>
  <si>
    <t>Pieza solid</t>
  </si>
  <si>
    <t>Cajas previamente terminadas</t>
  </si>
  <si>
    <t xml:space="preserve">Nicolas </t>
  </si>
  <si>
    <t>ELE-PO-003</t>
  </si>
  <si>
    <t>Ensamble (componentes)</t>
  </si>
  <si>
    <t>Subensambles terminados</t>
  </si>
  <si>
    <t>ELE-PO-004</t>
  </si>
  <si>
    <t>Ensamble caja LV</t>
  </si>
  <si>
    <t>ELE-PO-005</t>
  </si>
  <si>
    <t>Refrigeración</t>
  </si>
  <si>
    <t>Validacion de la refrigeracion</t>
  </si>
  <si>
    <t>Uran</t>
  </si>
  <si>
    <t>ELE-PO-006</t>
  </si>
  <si>
    <t>Definir refrigerante</t>
  </si>
  <si>
    <t xml:space="preserve">Informe </t>
  </si>
  <si>
    <t>ELE-PO-007</t>
  </si>
  <si>
    <t>Agregar componentes del nuevo reglamento a la caja LV</t>
  </si>
  <si>
    <t>Reglamento 2026 leido de Pe a Pa</t>
  </si>
  <si>
    <t>ELE-PO-009</t>
  </si>
  <si>
    <t xml:space="preserve">Integrar componentes en el CAD </t>
  </si>
  <si>
    <t>Urán y Pedro</t>
  </si>
  <si>
    <t>ELE-PO-010</t>
  </si>
  <si>
    <t>Agregar componentes del nuevo reglamento a la caja HV</t>
  </si>
  <si>
    <t>ELE-PO-011</t>
  </si>
  <si>
    <t>Ajustar longitud de mangueras  y sujeciones</t>
  </si>
  <si>
    <t>Juan Pablo</t>
  </si>
  <si>
    <t>ELE-PO-012</t>
  </si>
  <si>
    <t>Buscar conectores</t>
  </si>
  <si>
    <t>Busqueda componente</t>
  </si>
  <si>
    <t>Número exacto de pines y cables enlistado</t>
  </si>
  <si>
    <t>ELE-PO-013</t>
  </si>
  <si>
    <t>Dimensionar serpentin</t>
  </si>
  <si>
    <t>ELE-PO-014</t>
  </si>
  <si>
    <t xml:space="preserve">Definir ubicación radiador </t>
  </si>
  <si>
    <t>ELE-PO-015</t>
  </si>
  <si>
    <t xml:space="preserve">Agregar conectores al CAD de HV </t>
  </si>
  <si>
    <t>Conectores seleccionados</t>
  </si>
  <si>
    <t>ELE-PO-016</t>
  </si>
  <si>
    <t>Compras y BOM</t>
  </si>
  <si>
    <t>Agregar componentes de refrigeración faltantes al BOM</t>
  </si>
  <si>
    <t>Refrigeración terminada</t>
  </si>
  <si>
    <t xml:space="preserve">Uran </t>
  </si>
  <si>
    <t>ELE-PO-017</t>
  </si>
  <si>
    <t>Agregar conectores al CAD de LV</t>
  </si>
  <si>
    <t>ELE-PO-018</t>
  </si>
  <si>
    <t>Reunion con chasis para la ubicación de las cajas</t>
  </si>
  <si>
    <t>reunion</t>
  </si>
  <si>
    <t>Chasis y subensambles de potencia terminados</t>
  </si>
  <si>
    <t>ELE-PO-019</t>
  </si>
  <si>
    <t>Agregar bomba Bosch Cascadia</t>
  </si>
  <si>
    <t>Respuesta de Cascadia</t>
  </si>
  <si>
    <t>ELE-PO-020</t>
  </si>
  <si>
    <t>Ensamble cajas en el chasis</t>
  </si>
  <si>
    <t>Acuerdo con Chasis</t>
  </si>
  <si>
    <t>Subsistema de chasis</t>
  </si>
  <si>
    <t>ELE-PO-021</t>
  </si>
  <si>
    <t>Agregar conectores al BOM</t>
  </si>
  <si>
    <t>Conectores definidos</t>
  </si>
  <si>
    <t>ELE-PO-022</t>
  </si>
  <si>
    <t>Agregar kits HV y LV al BOM</t>
  </si>
  <si>
    <t>ELE-PO-024</t>
  </si>
  <si>
    <t xml:space="preserve">Ruteo cables tipo 0 </t>
  </si>
  <si>
    <t>Componentes electrónicos ya incluidos en el ensamble</t>
  </si>
  <si>
    <t>ELE-PO-025</t>
  </si>
  <si>
    <t>Diseño eléctrico</t>
  </si>
  <si>
    <t xml:space="preserve">Correccion planos con el nuevo reglamento </t>
  </si>
  <si>
    <t>Planos electricos</t>
  </si>
  <si>
    <t>ELE-PO-026</t>
  </si>
  <si>
    <t>⁠Meter y Discharge a la HV</t>
  </si>
  <si>
    <t>ELE-PO-027</t>
  </si>
  <si>
    <t>Revisar y Actualizar BOM</t>
  </si>
  <si>
    <t>ELE-PO-028</t>
  </si>
  <si>
    <t>Definir ubicación Radiadores</t>
  </si>
  <si>
    <t>ELE-PO-029</t>
  </si>
  <si>
    <t>Conversación con Chasis y Aerodinámica sobre la Refrigeración</t>
  </si>
  <si>
    <t>Reunión</t>
  </si>
  <si>
    <t>ELE-PO-030</t>
  </si>
  <si>
    <t>Realizar circuito ready to move sound</t>
  </si>
  <si>
    <t>ELE-PO-031</t>
  </si>
  <si>
    <t>Hablar con frenos sobre swiche de frenado - pin G3</t>
  </si>
  <si>
    <t>Nicolas y Sofia</t>
  </si>
  <si>
    <t>ELE-PO-032</t>
  </si>
  <si>
    <t>Hablar con Juanjo Pérez ubicaciones chasis</t>
  </si>
  <si>
    <t>ELE-PO-033</t>
  </si>
  <si>
    <t>CAD de Cajas a Detalle</t>
  </si>
  <si>
    <t>ELE-PO-034</t>
  </si>
  <si>
    <t>Ensamblaje Componentes</t>
  </si>
  <si>
    <t>ELE-PO-035</t>
  </si>
  <si>
    <t>Definir Refrigerante</t>
  </si>
  <si>
    <t>ELE-PO-036</t>
  </si>
  <si>
    <t>Definir Caudal</t>
  </si>
  <si>
    <t>ELE-PO-037</t>
  </si>
  <si>
    <t>ELE-PO-038</t>
  </si>
  <si>
    <t>Diseño Interfaz Piloto</t>
  </si>
  <si>
    <t>ELE-PO-039</t>
  </si>
  <si>
    <t xml:space="preserve">CAD componentes refrigeración </t>
  </si>
  <si>
    <t>Nicolas y Juan Pablo</t>
  </si>
  <si>
    <t>ELE-PO-040</t>
  </si>
  <si>
    <t>Evaluar si usar terminar tipo anillo o conector para la caja HV</t>
  </si>
  <si>
    <t>ELE-PO-041</t>
  </si>
  <si>
    <t>Incluir sensor lineal en el presupuesto</t>
  </si>
  <si>
    <t>Nicolas, Sofia y Juan Pablo</t>
  </si>
  <si>
    <t>ELE-PO-042</t>
  </si>
  <si>
    <t>Enviar pesos a chasis</t>
  </si>
  <si>
    <t>ELE-PO-043</t>
  </si>
  <si>
    <t>Definir Tuberías y Longitudes</t>
  </si>
  <si>
    <t>ELE-PO-044</t>
  </si>
  <si>
    <t>Eliminar componentes del presupuesto que nada que ver</t>
  </si>
  <si>
    <t>Nicolas y sofia</t>
  </si>
  <si>
    <t>ELE-PO-045</t>
  </si>
  <si>
    <t>Cambiar relés del IMD y del BMS por relés de doble contacto</t>
  </si>
  <si>
    <t>Nicolas</t>
  </si>
  <si>
    <t>ELE-PO-046</t>
  </si>
  <si>
    <t>Ensamble móvil del sensor lineal del acelerador</t>
  </si>
  <si>
    <t>ELE-PO-047</t>
  </si>
  <si>
    <t xml:space="preserve">Seleccionar relé de descarga </t>
  </si>
  <si>
    <t>ELE-PO-048</t>
  </si>
  <si>
    <t>Investigar sobre el receptacle del energy meter</t>
  </si>
  <si>
    <t>ELE-PO-049</t>
  </si>
  <si>
    <t>Evaluar y elegir conectores para la caja HV</t>
  </si>
  <si>
    <t>ELE-PO-050</t>
  </si>
  <si>
    <t xml:space="preserve">Agregar los valores definidos de los fusibles al Plano del controlador </t>
  </si>
  <si>
    <t>ELE-PO-051</t>
  </si>
  <si>
    <t>Agregar conectores caja HV al BOM</t>
  </si>
  <si>
    <t>Nico y Sofi</t>
  </si>
  <si>
    <t>ELE-PO-052</t>
  </si>
  <si>
    <t>Sujeciones Internas</t>
  </si>
  <si>
    <t>Nico Y Sofi</t>
  </si>
  <si>
    <t>ELE-PO-053</t>
  </si>
  <si>
    <t>Ruteo Tipo 0 Controlador</t>
  </si>
  <si>
    <t>ELE-PO-054</t>
  </si>
  <si>
    <t>compras y BOM</t>
  </si>
  <si>
    <t>Buscar Discharge 2.0</t>
  </si>
  <si>
    <t>ELE-PO-055</t>
  </si>
  <si>
    <t>Revisión del BOM</t>
  </si>
  <si>
    <t>ELE-PO-056</t>
  </si>
  <si>
    <t>Agregar material sujeciones internas y tornillería al BOM</t>
  </si>
  <si>
    <t>ELE-TE-001</t>
  </si>
  <si>
    <t>Telemetría</t>
  </si>
  <si>
    <t>Planos Eléctricos definitivo</t>
  </si>
  <si>
    <t>Finalización de el Esquematico</t>
  </si>
  <si>
    <t>Felipe y Luis</t>
  </si>
  <si>
    <t>ELE-TE-002</t>
  </si>
  <si>
    <t>Diseño CAD(Antena GPS)</t>
  </si>
  <si>
    <t>Solid</t>
  </si>
  <si>
    <t>Santi y RGB</t>
  </si>
  <si>
    <t>ELE-TE-003</t>
  </si>
  <si>
    <t>Diseño CAD(Antena WIFI)</t>
  </si>
  <si>
    <t>ELE-TE-004</t>
  </si>
  <si>
    <t>Diseño CAD(GY-91)</t>
  </si>
  <si>
    <t>ELE-TE-005</t>
  </si>
  <si>
    <t>Diseño CAD(Microcontrolador)</t>
  </si>
  <si>
    <t>ELE-TE-006</t>
  </si>
  <si>
    <t>Diseño CAD integrado con microsubsistemas</t>
  </si>
  <si>
    <t>ELE-TE-007</t>
  </si>
  <si>
    <t>Diseño de software</t>
  </si>
  <si>
    <t>Diseño del Sistema de Recolección de Datos</t>
  </si>
  <si>
    <t>Arquitectura</t>
  </si>
  <si>
    <t>Reunion con Juan Carlos(profesor)</t>
  </si>
  <si>
    <t>Pipe y Luis</t>
  </si>
  <si>
    <t>ELE-TE-008</t>
  </si>
  <si>
    <t>Diseño del Sistema de Transmisión (definición de arquitectura)</t>
  </si>
  <si>
    <t>ELE-TE-009</t>
  </si>
  <si>
    <t>Diagrama Componentes</t>
  </si>
  <si>
    <t>Lucidchart</t>
  </si>
  <si>
    <t>ELE-TE-010</t>
  </si>
  <si>
    <t xml:space="preserve">Definicion de formato y estructura de los datos </t>
  </si>
  <si>
    <t>MongoDB</t>
  </si>
  <si>
    <t>Estructura de la Base de datos</t>
  </si>
  <si>
    <t>ELE-TE-011</t>
  </si>
  <si>
    <t>Definicion de protocolo de conexion a internet</t>
  </si>
  <si>
    <t>Cisco</t>
  </si>
  <si>
    <t>Diagrama componentes</t>
  </si>
  <si>
    <t>ELE-TE-012</t>
  </si>
  <si>
    <t>Definición de modulos de adquisicion y sincronización</t>
  </si>
  <si>
    <t>lucidchart</t>
  </si>
  <si>
    <t>Santi y Luis</t>
  </si>
  <si>
    <t>ELE-TE-013</t>
  </si>
  <si>
    <t>Definicion de sistema de almacenamiento y bases de datos</t>
  </si>
  <si>
    <t>Informe(documentación)</t>
  </si>
  <si>
    <t>ELE-TE-014</t>
  </si>
  <si>
    <t xml:space="preserve">Implementacion de filtrado y validacion de los datos </t>
  </si>
  <si>
    <t>Codigo</t>
  </si>
  <si>
    <t>ELE-TE-015</t>
  </si>
  <si>
    <t>Recepcion y visualizacion de los datos (GRAFANA)</t>
  </si>
  <si>
    <t>Codigo conecxión</t>
  </si>
  <si>
    <t>ELE-TE-016</t>
  </si>
  <si>
    <t>BOM Cableado</t>
  </si>
  <si>
    <t>ELE-TE-017</t>
  </si>
  <si>
    <t xml:space="preserve">BOM </t>
  </si>
  <si>
    <t>Bom Cableado</t>
  </si>
  <si>
    <t>ELE-TE-018</t>
  </si>
  <si>
    <t>Pruebas</t>
  </si>
  <si>
    <t>Prueba interfaz BMS</t>
  </si>
  <si>
    <t xml:space="preserve">Prueba de Protocolos </t>
  </si>
  <si>
    <t>ELE-TE-019</t>
  </si>
  <si>
    <t>Pruebas simuladas</t>
  </si>
  <si>
    <t xml:space="preserve">Prueba de Protocolos (en cisco) </t>
  </si>
  <si>
    <t>Prueba interfaz de programas en linux debian wsl</t>
  </si>
  <si>
    <t>ELE-TE-020</t>
  </si>
  <si>
    <t xml:space="preserve">Pruebas simuladas </t>
  </si>
  <si>
    <t xml:space="preserve">Prueba recolecion de datos </t>
  </si>
  <si>
    <t>ELE-TE-021</t>
  </si>
  <si>
    <t>Prueba almacenamiento en bases de datos en mongo, InfluxDB</t>
  </si>
  <si>
    <t>ELE-TE-022</t>
  </si>
  <si>
    <t xml:space="preserve">Prueba almacenamiento de procesamiento de datos </t>
  </si>
  <si>
    <t xml:space="preserve">Prueba almacenamiento en bases de datos en mongo </t>
  </si>
  <si>
    <t>ELE-TE-023</t>
  </si>
  <si>
    <t>Prueba de visualizacion de datos en grafana</t>
  </si>
  <si>
    <t>ELE-TE-024</t>
  </si>
  <si>
    <t>Diseño CAD (Caja conjunto)</t>
  </si>
  <si>
    <t>Cad Componentes</t>
  </si>
  <si>
    <t>Santi, RGB y pipe</t>
  </si>
  <si>
    <t>ELE-TE-025</t>
  </si>
  <si>
    <t>⁠Diseño CAD. (Considerar Ubicación componentes externos)</t>
  </si>
  <si>
    <t>Santi y Jero</t>
  </si>
  <si>
    <t>ELE-TE-026</t>
  </si>
  <si>
    <t>Revisar alternativa PLC, EQSP32</t>
  </si>
  <si>
    <t>Investigacion</t>
  </si>
  <si>
    <t>ELE-TE-027</t>
  </si>
  <si>
    <t>Revisión Presupuesto</t>
  </si>
  <si>
    <t>ELE-TE-028</t>
  </si>
  <si>
    <t>Revisión Diagrama Componentes</t>
  </si>
  <si>
    <t>ELE-TE-029</t>
  </si>
  <si>
    <t>Definicion de formato y estructura de los datos</t>
  </si>
  <si>
    <t>ELE-TE-030</t>
  </si>
  <si>
    <t>CAD detallado y final caja de telemetría</t>
  </si>
  <si>
    <t>ELE-TE-031</t>
  </si>
  <si>
    <t>Revisar Conectividad con Servidor</t>
  </si>
  <si>
    <t>Luis</t>
  </si>
  <si>
    <t>ELE-TE-032</t>
  </si>
  <si>
    <t>Terminar ensamblaje caja</t>
  </si>
  <si>
    <t>ELE-TE-033</t>
  </si>
  <si>
    <t>Enviar pesos a Chasis</t>
  </si>
  <si>
    <t>ELE-TE-034</t>
  </si>
  <si>
    <t>Dashboard Pilot0 (mockup)</t>
  </si>
  <si>
    <t>Grafana</t>
  </si>
  <si>
    <t>ELE-TE-035</t>
  </si>
  <si>
    <t>Definir Conexiones BMS y Controlador</t>
  </si>
  <si>
    <t>ELE-TE-036</t>
  </si>
  <si>
    <t>Definir mediciones recorrido pedal freno y acelerador</t>
  </si>
  <si>
    <t>ELE-TE-037</t>
  </si>
  <si>
    <t>Luis y Santi</t>
  </si>
  <si>
    <t>ELE-TE-038</t>
  </si>
  <si>
    <t xml:space="preserve">Conectores Caja Telemetría </t>
  </si>
  <si>
    <t>ELE-TE-039</t>
  </si>
  <si>
    <t>Tutorial IOT Stack de Cano</t>
  </si>
  <si>
    <t>Santi, Jero y Pipe</t>
  </si>
  <si>
    <t>ELE-TE-040</t>
  </si>
  <si>
    <t>Revisar ubicación sensor</t>
  </si>
  <si>
    <t>ELE-TE-041</t>
  </si>
  <si>
    <t>Articulación con Potencia</t>
  </si>
  <si>
    <t>ELE-TE-042</t>
  </si>
  <si>
    <t>Pedal-Acelerador (Potenciómetro lineal)</t>
  </si>
  <si>
    <t>Jero</t>
  </si>
  <si>
    <t>ELE-TE-043</t>
  </si>
  <si>
    <t>Pedal-Freno (Sensor Presión)</t>
  </si>
  <si>
    <t>Santi</t>
  </si>
  <si>
    <t>ELE-TE-044</t>
  </si>
  <si>
    <t>Solución CAN</t>
  </si>
  <si>
    <t>`</t>
  </si>
  <si>
    <t>ELE-TE-045</t>
  </si>
  <si>
    <t>CAN BMS</t>
  </si>
  <si>
    <t>ELE-TE-046</t>
  </si>
  <si>
    <t>State Of Charge</t>
  </si>
  <si>
    <t>ELE-TE-047</t>
  </si>
  <si>
    <t>Materiales Caja</t>
  </si>
  <si>
    <t>ELE-TE-048</t>
  </si>
  <si>
    <t>Sujeciones Sensor al Chasis</t>
  </si>
  <si>
    <t>ELE-TE-049</t>
  </si>
  <si>
    <t>Preguntas Asesores</t>
  </si>
  <si>
    <t>ELE-TE-050</t>
  </si>
  <si>
    <t>Módulo Antena Celular</t>
  </si>
  <si>
    <t>ELE-TE-051</t>
  </si>
  <si>
    <t>Averiguar proveedor Brasil Wifi</t>
  </si>
  <si>
    <t xml:space="preserve">Felipe </t>
  </si>
  <si>
    <t>ELE-TE-052</t>
  </si>
  <si>
    <t xml:space="preserve">Lámina caja Telemetría </t>
  </si>
  <si>
    <t>ELE-TE-053</t>
  </si>
  <si>
    <t>Planificar Objetivos Vacaciones</t>
  </si>
  <si>
    <t>Mandar plantilla de reu general</t>
  </si>
  <si>
    <t>0a7e765e-9c73-4984-ac6b-07a2b3f04e65</t>
  </si>
  <si>
    <t>2026-05-19T10:00:00Z</t>
  </si>
  <si>
    <t>Desarrollo de Team y Rookie Test</t>
  </si>
  <si>
    <t>d395e67e-7173-4ca3-ad1c-5e706afa3fa4</t>
  </si>
  <si>
    <t>2026-05-15T10:00:00Z</t>
  </si>
  <si>
    <t>ELE-BA-093</t>
  </si>
  <si>
    <t>Indicator Lights TSSI</t>
  </si>
  <si>
    <t>ELE-BA-094</t>
  </si>
  <si>
    <t>Añadir PCB del BSPD</t>
  </si>
  <si>
    <t>ELE-BA-095</t>
  </si>
  <si>
    <t>Charging Shutdown Estética Circuito</t>
  </si>
  <si>
 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</si>
  <si>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</si>
  <si>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</si>
  <si>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</si>
  <si>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</si>
  <si>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</si>
  <si>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Checklist Reglamento</t>
  </si>
  <si>
    <t>ELE-BA-099</t>
  </si>
  <si>
    <t>Correo Trucklite</t>
  </si>
  <si>
    <t>BOM LV</t>
  </si>
  <si>
    <t>DYM-DI-26</t>
  </si>
  <si>
    <t>Finitos a los soportes del rack</t>
  </si>
  <si>
    <t>CAD-Simulacion</t>
  </si>
  <si>
    <t>DYM-DI-27</t>
  </si>
  <si>
    <t xml:space="preserve">CAD del volante </t>
  </si>
  <si>
    <t>Reunion con ergonomia</t>
  </si>
  <si>
    <t>Pendiente</t>
  </si>
  <si>
    <t>DYM-DI-28</t>
  </si>
  <si>
    <t>Reunion con gallego</t>
  </si>
  <si>
    <t>Reunion</t>
  </si>
  <si>
    <t>x`</t>
  </si>
  <si>
    <t>Control de Cambios</t>
  </si>
  <si>
    <t xml:space="preserve">Cambio     </t>
  </si>
  <si>
    <t>Fecha</t>
  </si>
  <si>
    <t xml:space="preserve">Batería </t>
  </si>
  <si>
    <t>Cambio de dimensiones de batería (5cm de alto y 10cm de largo y ancho)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</si>
</sst>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242424"/>
      <name val="Aptos Narrow"/>
      <family val="2"/>
    </font>
    <font>
      <sz val="11"/>
      <color rgb="FF242424"/>
      <name val="Calibri"/>
      <family val="2"/>
      <scheme val="minor"/>
    </font>
    <font>
      <sz val="11"/>
      <color rgb="FF8D2ADE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</font>
    <font>
      <sz val="11"/>
      <color rgb="FF000000"/>
      <name val="Calibri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B46C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D2ADE"/>
        <bgColor indexed="64"/>
      </patternFill>
    </fill>
    <fill>
      <patternFill patternType="solid">
        <fgColor rgb="FFB46C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2" fillId="0" borderId="0" xfId="0" applyFont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4" fontId="0" fillId="0" borderId="1" xfId="0" applyNumberFormat="1" applyBorder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0" fillId="4" borderId="1" xfId="0" applyFill="1" applyBorder="1"/>
    <xf numFmtId="0" fontId="7" fillId="2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9" fontId="0" fillId="0" borderId="0" xfId="0" applyNumberFormat="1"/>
    <xf numFmtId="0" fontId="0" fillId="5" borderId="1" xfId="0" applyFill="1" applyBorder="1"/>
    <xf numFmtId="0" fontId="0" fillId="6" borderId="1" xfId="0" applyFill="1" applyBorder="1"/>
    <xf numFmtId="14" fontId="0" fillId="0" borderId="0" xfId="0" applyNumberFormat="1"/>
    <xf numFmtId="14" fontId="0" fillId="0" borderId="7" xfId="0" applyNumberFormat="1" applyBorder="1"/>
    <xf numFmtId="0" fontId="0" fillId="0" borderId="1" xfId="0" applyBorder="1"/>
    <xf numFmtId="0" fontId="0" fillId="3" borderId="1" xfId="0" applyFill="1" applyBorder="1"/>
    <xf numFmtId="14" fontId="0" fillId="0" borderId="0" xfId="0" applyNumberFormat="1" applyAlignment="1">
      <alignment horizontal="right"/>
    </xf>
    <xf numFmtId="0" fontId="0" fillId="4" borderId="2" xfId="0" applyFill="1" applyBorder="1"/>
    <xf numFmtId="0" fontId="0" fillId="4" borderId="3" xfId="0" applyFill="1" applyBorder="1"/>
    <xf numFmtId="0" fontId="0" fillId="3" borderId="9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3" xfId="0" applyBorder="1"/>
    <xf numFmtId="14" fontId="0" fillId="0" borderId="0" xfId="0" applyNumberFormat="1" applyAlignment="1">
      <alignment wrapText="1"/>
    </xf>
    <xf numFmtId="0" fontId="0" fillId="4" borderId="0" xfId="0" applyFill="1"/>
    <xf numFmtId="14" fontId="12" fillId="0" borderId="0" xfId="0" applyNumberFormat="1" applyFont="1"/>
    <xf numFmtId="0" fontId="0" fillId="8" borderId="0" xfId="0" applyFill="1"/>
    <xf numFmtId="0" fontId="0" fillId="8" borderId="0" xfId="0" applyFill="1" applyAlignment="1">
      <alignment wrapText="1"/>
    </xf>
    <xf numFmtId="0" fontId="3" fillId="8" borderId="0" xfId="0" applyFont="1" applyFill="1" applyAlignment="1">
      <alignment wrapText="1"/>
    </xf>
    <xf numFmtId="14" fontId="0" fillId="8" borderId="0" xfId="0" applyNumberFormat="1" applyFill="1"/>
    <xf numFmtId="0" fontId="0" fillId="0" borderId="12" xfId="0" applyBorder="1"/>
    <xf numFmtId="0" fontId="0" fillId="0" borderId="7" xfId="0" applyBorder="1"/>
    <xf numFmtId="0" fontId="0" fillId="0" borderId="13" xfId="0" applyBorder="1"/>
    <xf numFmtId="0" fontId="0" fillId="6" borderId="9" xfId="0" applyFill="1" applyBorder="1"/>
    <xf numFmtId="0" fontId="0" fillId="5" borderId="9" xfId="0" applyFill="1" applyBorder="1"/>
    <xf numFmtId="0" fontId="0" fillId="9" borderId="1" xfId="0" applyFill="1" applyBorder="1"/>
    <xf numFmtId="0" fontId="13" fillId="10" borderId="1" xfId="0" applyFont="1" applyFill="1" applyBorder="1"/>
    <xf numFmtId="0" fontId="14" fillId="10" borderId="1" xfId="0" applyFont="1" applyFill="1" applyBorder="1"/>
    <xf numFmtId="0" fontId="0" fillId="10" borderId="1" xfId="0" applyFill="1" applyBorder="1"/>
    <xf numFmtId="0" fontId="0" fillId="3" borderId="14" xfId="0" applyFill="1" applyBorder="1"/>
    <xf numFmtId="0" fontId="0" fillId="3" borderId="2" xfId="0" applyFill="1" applyBorder="1"/>
    <xf numFmtId="0" fontId="0" fillId="3" borderId="10" xfId="0" applyFill="1" applyBorder="1"/>
    <xf numFmtId="0" fontId="0" fillId="4" borderId="14" xfId="0" applyFill="1" applyBorder="1"/>
    <xf numFmtId="14" fontId="11" fillId="0" borderId="0" xfId="0" applyNumberFormat="1" applyFont="1"/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7" borderId="0" xfId="0" applyFill="1"/>
    <xf numFmtId="0" fontId="0" fillId="7" borderId="0" xfId="0" applyFill="1" applyAlignment="1">
      <alignment wrapText="1"/>
    </xf>
    <xf numFmtId="0" fontId="3" fillId="7" borderId="0" xfId="0" applyFont="1" applyFill="1" applyAlignment="1">
      <alignment wrapText="1"/>
    </xf>
    <xf numFmtId="0" fontId="0" fillId="0" borderId="8" xfId="0" applyBorder="1" applyAlignment="1">
      <alignment wrapText="1"/>
    </xf>
    <xf numFmtId="14" fontId="0" fillId="7" borderId="0" xfId="0" applyNumberFormat="1" applyFill="1"/>
    <xf numFmtId="0" fontId="3" fillId="0" borderId="0" xfId="0" applyFont="1" applyAlignment="1">
      <alignment horizontal="left"/>
    </xf>
    <xf numFmtId="0" fontId="3" fillId="0" borderId="0" xfId="0" applyFont="1"/>
    <xf numFmtId="0" fontId="3" fillId="11" borderId="17" xfId="0" applyFont="1" applyFill="1" applyBorder="1"/>
    <xf numFmtId="0" fontId="3" fillId="11" borderId="18" xfId="0" applyFont="1" applyFill="1" applyBorder="1"/>
    <xf numFmtId="0" fontId="3" fillId="12" borderId="18" xfId="0" applyFont="1" applyFill="1" applyBorder="1"/>
    <xf numFmtId="0" fontId="3" fillId="12" borderId="19" xfId="0" applyFont="1" applyFill="1" applyBorder="1"/>
    <xf numFmtId="0" fontId="3" fillId="12" borderId="20" xfId="0" applyFont="1" applyFill="1" applyBorder="1"/>
    <xf numFmtId="0" fontId="3" fillId="11" borderId="20" xfId="0" applyFont="1" applyFill="1" applyBorder="1"/>
    <xf numFmtId="0" fontId="3" fillId="0" borderId="20" xfId="0" applyFont="1" applyBorder="1"/>
    <xf numFmtId="0" fontId="3" fillId="0" borderId="19" xfId="0" applyFont="1" applyBorder="1"/>
    <xf numFmtId="0" fontId="15" fillId="0" borderId="19" xfId="0" applyFont="1" applyBorder="1"/>
    <xf numFmtId="0" fontId="15" fillId="0" borderId="20" xfId="0" applyFont="1" applyBorder="1"/>
    <xf numFmtId="0" fontId="3" fillId="11" borderId="19" xfId="0" applyFont="1" applyFill="1" applyBorder="1"/>
    <xf numFmtId="0" fontId="3" fillId="12" borderId="21" xfId="0" applyFont="1" applyFill="1" applyBorder="1"/>
    <xf numFmtId="0" fontId="3" fillId="11" borderId="14" xfId="0" applyFont="1" applyFill="1" applyBorder="1"/>
    <xf numFmtId="0" fontId="3" fillId="12" borderId="22" xfId="0" applyFont="1" applyFill="1" applyBorder="1"/>
    <xf numFmtId="0" fontId="3" fillId="12" borderId="1" xfId="0" applyFont="1" applyFill="1" applyBorder="1"/>
    <xf numFmtId="0" fontId="3" fillId="11" borderId="0" xfId="0" applyFont="1" applyFill="1"/>
    <xf numFmtId="0" fontId="3" fillId="12" borderId="10" xfId="0" applyFont="1" applyFill="1" applyBorder="1"/>
    <xf numFmtId="0" fontId="3" fillId="12" borderId="23" xfId="0" applyFont="1" applyFill="1" applyBorder="1"/>
    <xf numFmtId="0" fontId="3" fillId="0" borderId="24" xfId="0" applyFont="1" applyBorder="1"/>
    <xf numFmtId="0" fontId="3" fillId="12" borderId="25" xfId="0" applyFont="1" applyFill="1" applyBorder="1"/>
    <xf numFmtId="0" fontId="3" fillId="12" borderId="26" xfId="0" applyFont="1" applyFill="1" applyBorder="1"/>
    <xf numFmtId="0" fontId="3" fillId="0" borderId="18" xfId="0" applyFont="1" applyBorder="1"/>
    <xf numFmtId="0" fontId="3" fillId="12" borderId="27" xfId="0" applyFont="1" applyFill="1" applyBorder="1"/>
    <xf numFmtId="0" fontId="3" fillId="11" borderId="28" xfId="0" applyFont="1" applyFill="1" applyBorder="1"/>
    <xf numFmtId="0" fontId="3" fillId="11" borderId="27" xfId="0" applyFont="1" applyFill="1" applyBorder="1"/>
    <xf numFmtId="0" fontId="3" fillId="0" borderId="26" xfId="0" applyFont="1" applyBorder="1"/>
    <xf numFmtId="0" fontId="3" fillId="0" borderId="27" xfId="0" applyFont="1" applyBorder="1"/>
    <xf numFmtId="14" fontId="16" fillId="4" borderId="29" xfId="0" applyNumberFormat="1" applyFont="1" applyFill="1" applyBorder="1"/>
    <xf numFmtId="14" fontId="16" fillId="4" borderId="30" xfId="0" applyNumberFormat="1" applyFont="1" applyFill="1" applyBorder="1"/>
    <xf numFmtId="0" fontId="0" fillId="0" borderId="2" xfId="0" applyBorder="1"/>
    <xf numFmtId="0" fontId="0" fillId="0" borderId="11" xfId="0" applyBorder="1"/>
    <xf numFmtId="0" fontId="0" fillId="0" borderId="9" xfId="0" applyBorder="1"/>
    <xf numFmtId="0" fontId="0" fillId="0" borderId="10" xfId="0" applyBorder="1"/>
    <xf numFmtId="0" fontId="6" fillId="0" borderId="9" xfId="0" applyFont="1" applyBorder="1"/>
    <xf numFmtId="0" fontId="3" fillId="13" borderId="0" xfId="0" applyFont="1" applyFill="1" applyAlignment="1">
      <alignment wrapText="1"/>
    </xf>
    <xf numFmtId="0" fontId="0" fillId="10" borderId="2" xfId="0" applyFill="1" applyBorder="1"/>
    <xf numFmtId="0" fontId="14" fillId="10" borderId="2" xfId="0" applyFont="1" applyFill="1" applyBorder="1"/>
    <xf numFmtId="0" fontId="14" fillId="9" borderId="1" xfId="0" applyFont="1" applyFill="1" applyBorder="1"/>
    <xf numFmtId="0" fontId="0" fillId="14" borderId="0" xfId="0" applyFill="1"/>
    <xf numFmtId="14" fontId="16" fillId="14" borderId="29" xfId="0" applyNumberFormat="1" applyFont="1" applyFill="1" applyBorder="1"/>
    <xf numFmtId="14" fontId="16" fillId="14" borderId="30" xfId="0" applyNumberFormat="1" applyFont="1" applyFill="1" applyBorder="1"/>
    <xf numFmtId="14" fontId="16" fillId="8" borderId="29" xfId="0" applyNumberFormat="1" applyFont="1" applyFill="1" applyBorder="1"/>
    <xf numFmtId="14" fontId="16" fillId="8" borderId="30" xfId="0" applyNumberFormat="1" applyFont="1" applyFill="1" applyBorder="1"/>
    <xf numFmtId="0" fontId="0" fillId="13" borderId="0" xfId="0" applyFill="1"/>
    <xf numFmtId="14" fontId="0" fillId="13" borderId="0" xfId="0" applyNumberFormat="1" applyFill="1"/>
    <xf numFmtId="0" fontId="0" fillId="13" borderId="0" xfId="0" applyFill="1" applyAlignment="1">
      <alignment wrapText="1"/>
    </xf>
    <xf numFmtId="0" fontId="0" fillId="13" borderId="1" xfId="0" applyFill="1" applyBorder="1"/>
    <xf numFmtId="0" fontId="0" fillId="13" borderId="2" xfId="0" applyFill="1" applyBorder="1"/>
    <xf numFmtId="0" fontId="0" fillId="13" borderId="3" xfId="0" applyFill="1" applyBorder="1"/>
    <xf numFmtId="0" fontId="3" fillId="13" borderId="0" xfId="0" applyFont="1" applyFill="1"/>
    <xf numFmtId="14" fontId="1" fillId="0" borderId="0" xfId="0" applyNumberFormat="1" applyFont="1"/>
    <xf numFmtId="14" fontId="3" fillId="0" borderId="0" xfId="0" applyNumberFormat="1" applyFont="1"/>
    <xf numFmtId="0" fontId="0" fillId="0" borderId="7" xfId="0" applyBorder="1" applyAlignment="1">
      <alignment wrapText="1"/>
    </xf>
    <xf numFmtId="0" fontId="9" fillId="6" borderId="1" xfId="0" applyFont="1" applyFill="1" applyBorder="1"/>
    <xf numFmtId="0" fontId="9" fillId="0" borderId="1" xfId="0" applyFont="1" applyBorder="1"/>
    <xf numFmtId="0" fontId="9" fillId="9" borderId="1" xfId="0" applyFont="1" applyFill="1" applyBorder="1"/>
    <xf numFmtId="0" fontId="17" fillId="0" borderId="0" xfId="0" applyFont="1" applyAlignment="1">
      <alignment wrapText="1"/>
    </xf>
    <xf numFmtId="14" fontId="18" fillId="4" borderId="29" xfId="0" applyNumberFormat="1" applyFont="1" applyFill="1" applyBorder="1"/>
    <xf numFmtId="14" fontId="18" fillId="4" borderId="30" xfId="0" applyNumberFormat="1" applyFont="1" applyFill="1" applyBorder="1"/>
    <xf numFmtId="0" fontId="7" fillId="2" borderId="1" xfId="0" applyFont="1" applyFill="1" applyBorder="1" applyAlignment="1">
      <alignment horizontal="center"/>
    </xf>
    <xf numFmtId="17" fontId="7" fillId="2" borderId="2" xfId="0" applyNumberFormat="1" applyFont="1" applyFill="1" applyBorder="1" applyAlignment="1">
      <alignment horizontal="center"/>
    </xf>
    <xf numFmtId="17" fontId="7" fillId="2" borderId="4" xfId="0" applyNumberFormat="1" applyFont="1" applyFill="1" applyBorder="1" applyAlignment="1">
      <alignment horizontal="center"/>
    </xf>
    <xf numFmtId="17" fontId="7" fillId="2" borderId="3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2" defaultPivotStyle="PivotStyleMedium9"/>
  <colors>
    <mruColors>
      <color rgb="FF8D2ADE"/>
      <color rgb="FFB46C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B8DFFF3-15C0-4739-95FA-9EE4719FE9D9}">
    <nsvFilter filterId="{3194C112-622B-4463-9290-968642591B16}" ref="B2:L436" tableId="2">
      <sortRules>
        <sortRule colId="1" id="{1B16F9FA-EC7D-4DDD-BAD8-B320DA425FB5}">
          <sortCondition ref="C2:C436"/>
        </sortRule>
      </sortRules>
    </nsvFilter>
  </namedSheetView>
  <namedSheetView name="View1" id="{485AF08F-1BE5-47B0-96E9-9FE155F25992}">
    <nsvFilter filterId="{3194C112-622B-4463-9290-968642591B16}" ref="B2:L436" tableId="2">
      <sortRules>
        <sortRule colId="3" id="{D8B7B4D4-92D6-4295-907C-F4F5E7E7F82F}">
          <sortCondition ref="E2:E436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94C112-622B-4463-9290-968642591B16}" name="Tabla2" displayName="Tabla2" ref="B2:L436" totalsRowShown="0" headerRowDxfId="1">
  <autoFilter ref="B2:L436" xr:uid="{3194C112-622B-4463-9290-968642591B16}">
    <filterColumn colId="10">
      <filters>
        <filter val="En progreso"/>
      </filters>
    </filterColumn>
  </autoFilter>
  <sortState xmlns:xlrd2="http://schemas.microsoft.com/office/spreadsheetml/2017/richdata2" ref="B3:L426">
    <sortCondition ref="B2:B426"/>
  </sortState>
  <tableColumns count="11">
    <tableColumn id="1" xr3:uid="{9C14F2DD-94EC-4D91-9194-2568BEA7CA8A}" name="ID Tarea"/>
    <tableColumn id="2" xr3:uid="{1B16F9FA-EC7D-4DDD-BAD8-B320DA425FB5}" name="Subsistema"/>
    <tableColumn id="3" xr3:uid="{C7F1F7A5-19FB-4B21-9A92-178215137BB5}" name="Microsubsistema"/>
    <tableColumn id="4" xr3:uid="{D8B7B4D4-92D6-4295-907C-F4F5E7E7F82F}" name="Paquete de Actividades"/>
    <tableColumn id="5" xr3:uid="{AA870D3B-A2DC-4F04-8C0D-1BC7CFCF1F5E}" name="Actividad (Literal)" dataDxfId="0"/>
    <tableColumn id="6" xr3:uid="{E65714D2-A07F-4FB1-B85B-0E64CA3DBFBD}" name="Entregable"/>
    <tableColumn id="12" xr3:uid="{3BB9D41C-2A3C-44AF-A4A0-858DD28E6316}" name="Actividad Predecesora"/>
    <tableColumn id="7" xr3:uid="{1F2AC50F-AE3F-443A-A7C0-E7FA59360870}" name="Responsable"/>
    <tableColumn id="8" xr3:uid="{60011CA6-C3DA-4809-8364-C683E6E8ED80}" name="Fecha Inicial"/>
    <tableColumn id="9" xr3:uid="{8B0DF707-5A1E-4F10-A94D-7B6E832213D4}" name="Fecha Final"/>
    <tableColumn id="10" xr3:uid="{7CEE88DF-C808-4FC4-B4CC-581F74F9371A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FB66-337C-48B2-B447-CDDFFCAB91A6}">
  <dimension ref="A1:BI441"/>
  <sheetViews>
    <sheetView tabSelected="1" zoomScale="168" zoomScaleNormal="168" workbookViewId="0">
      <pane xSplit="6" topLeftCell="H154" activePane="topRight" state="frozen"/>
      <selection pane="topRight" activeCell="F20" sqref="F20"/>
      <selection activeCell="A3" sqref="A3"/>
    </sheetView>
  </sheetViews>
  <sheetFormatPr defaultColWidth="8.85546875" defaultRowHeight="15" customHeight="1"/>
  <cols>
    <col min="1" max="1" width="3.5703125" customWidth="1"/>
    <col min="2" max="2" width="12.140625" bestFit="1" customWidth="1"/>
    <col min="3" max="3" width="12.85546875" customWidth="1"/>
    <col min="4" max="4" width="17" customWidth="1"/>
    <col min="5" max="5" width="20.28515625" customWidth="1"/>
    <col min="6" max="6" width="44.7109375" customWidth="1"/>
    <col min="7" max="7" width="22" customWidth="1"/>
    <col min="8" max="8" width="41.5703125" customWidth="1"/>
    <col min="9" max="9" width="24.5703125" bestFit="1" customWidth="1"/>
    <col min="10" max="10" width="25.85546875" bestFit="1" customWidth="1"/>
    <col min="11" max="11" width="22.28515625" customWidth="1"/>
    <col min="12" max="12" width="12.140625" customWidth="1"/>
    <col min="13" max="13" width="6" customWidth="1"/>
    <col min="14" max="14" width="6.42578125" customWidth="1"/>
    <col min="15" max="15" width="6.28515625" customWidth="1"/>
    <col min="16" max="16" width="6.140625" customWidth="1"/>
    <col min="17" max="17" width="6" customWidth="1"/>
    <col min="18" max="18" width="6.140625" customWidth="1"/>
    <col min="19" max="19" width="6" customWidth="1"/>
    <col min="20" max="20" width="5.85546875" customWidth="1"/>
    <col min="21" max="21" width="5.7109375" bestFit="1" customWidth="1"/>
    <col min="22" max="22" width="6.28515625" customWidth="1"/>
    <col min="23" max="23" width="6.140625" customWidth="1"/>
    <col min="24" max="24" width="5.85546875" customWidth="1"/>
    <col min="25" max="25" width="5.7109375" bestFit="1" customWidth="1"/>
    <col min="26" max="26" width="6.28515625" customWidth="1"/>
    <col min="27" max="27" width="6.140625" customWidth="1"/>
    <col min="28" max="28" width="6.28515625" customWidth="1"/>
    <col min="29" max="29" width="6.5703125" customWidth="1"/>
    <col min="32" max="32" width="16.140625" customWidth="1"/>
  </cols>
  <sheetData>
    <row r="1" spans="2:33" ht="14.4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27" t="s">
        <v>0</v>
      </c>
      <c r="N1" s="127"/>
      <c r="O1" s="127"/>
      <c r="P1" s="127"/>
      <c r="Q1" s="128" t="s">
        <v>1</v>
      </c>
      <c r="R1" s="129"/>
      <c r="S1" s="129"/>
      <c r="T1" s="129"/>
      <c r="U1" s="130"/>
      <c r="V1" s="128" t="s">
        <v>2</v>
      </c>
      <c r="W1" s="129"/>
      <c r="X1" s="129"/>
      <c r="Y1" s="130"/>
      <c r="Z1" s="128" t="s">
        <v>3</v>
      </c>
      <c r="AA1" s="129"/>
      <c r="AB1" s="129"/>
      <c r="AC1" s="130"/>
    </row>
    <row r="2" spans="2:33" ht="16.5" customHeight="1">
      <c r="B2" s="4" t="s">
        <v>4</v>
      </c>
      <c r="C2" s="5" t="s">
        <v>5</v>
      </c>
      <c r="D2" s="5" t="s">
        <v>6</v>
      </c>
      <c r="E2" s="4" t="s">
        <v>7</v>
      </c>
      <c r="F2" s="5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18" t="s">
        <v>15</v>
      </c>
      <c r="N2" s="18" t="s">
        <v>16</v>
      </c>
      <c r="O2" s="18" t="s">
        <v>17</v>
      </c>
      <c r="P2" s="18" t="s">
        <v>18</v>
      </c>
      <c r="Q2" s="18" t="s">
        <v>15</v>
      </c>
      <c r="R2" s="19" t="s">
        <v>16</v>
      </c>
      <c r="S2" s="19" t="s">
        <v>17</v>
      </c>
      <c r="T2" s="19" t="s">
        <v>18</v>
      </c>
      <c r="U2" s="19" t="s">
        <v>19</v>
      </c>
      <c r="V2" s="19" t="s">
        <v>16</v>
      </c>
      <c r="W2" s="19" t="s">
        <v>17</v>
      </c>
      <c r="X2" s="19" t="s">
        <v>18</v>
      </c>
      <c r="Y2" s="19" t="s">
        <v>19</v>
      </c>
      <c r="Z2" s="19" t="s">
        <v>16</v>
      </c>
      <c r="AA2" s="19" t="s">
        <v>17</v>
      </c>
      <c r="AB2" s="19" t="s">
        <v>18</v>
      </c>
      <c r="AC2" s="19" t="s">
        <v>20</v>
      </c>
    </row>
    <row r="3" spans="2:33" ht="14.45">
      <c r="B3" t="s">
        <v>21</v>
      </c>
      <c r="C3" t="s">
        <v>22</v>
      </c>
      <c r="D3" t="s">
        <v>23</v>
      </c>
      <c r="E3" t="s">
        <v>24</v>
      </c>
      <c r="F3" s="1" t="s">
        <v>25</v>
      </c>
      <c r="G3" t="s">
        <v>26</v>
      </c>
      <c r="H3" t="s">
        <v>27</v>
      </c>
      <c r="I3" t="s">
        <v>28</v>
      </c>
      <c r="J3" s="26">
        <v>46112</v>
      </c>
      <c r="K3" s="26">
        <v>46135</v>
      </c>
      <c r="L3" t="s">
        <v>29</v>
      </c>
      <c r="M3" s="20"/>
      <c r="N3" s="20"/>
      <c r="O3" s="20"/>
      <c r="P3" s="20"/>
      <c r="Q3" s="20"/>
      <c r="R3" s="20"/>
      <c r="S3" s="20"/>
      <c r="T3" s="20"/>
      <c r="U3" s="29"/>
      <c r="V3" s="29"/>
      <c r="W3" s="29"/>
      <c r="X3" s="20"/>
      <c r="Y3" s="20"/>
      <c r="Z3" s="20"/>
      <c r="AA3" s="20"/>
      <c r="AB3" s="20"/>
      <c r="AC3" s="20"/>
    </row>
    <row r="4" spans="2:33" ht="29.1">
      <c r="B4" t="s">
        <v>30</v>
      </c>
      <c r="C4" t="s">
        <v>22</v>
      </c>
      <c r="D4" t="s">
        <v>23</v>
      </c>
      <c r="E4" t="s">
        <v>24</v>
      </c>
      <c r="F4" s="1" t="s">
        <v>31</v>
      </c>
      <c r="G4" t="s">
        <v>32</v>
      </c>
      <c r="H4" t="s">
        <v>24</v>
      </c>
      <c r="I4" t="s">
        <v>28</v>
      </c>
      <c r="J4" s="26">
        <v>46112</v>
      </c>
      <c r="K4" s="26">
        <v>46142</v>
      </c>
      <c r="L4" t="s">
        <v>33</v>
      </c>
      <c r="M4" s="20"/>
      <c r="N4" s="20"/>
      <c r="O4" s="20"/>
      <c r="P4" s="20"/>
      <c r="Q4" s="20"/>
      <c r="R4" s="20"/>
      <c r="S4" s="20"/>
      <c r="T4" s="20"/>
      <c r="U4" s="25"/>
      <c r="V4" s="25"/>
      <c r="W4" s="29"/>
      <c r="X4" s="20"/>
      <c r="Y4" s="20"/>
      <c r="Z4" s="20"/>
      <c r="AA4" s="20"/>
      <c r="AB4" s="20"/>
      <c r="AC4" s="20"/>
      <c r="AF4" s="21" t="s">
        <v>34</v>
      </c>
      <c r="AG4" s="22" t="e">
        <f>COUNTIF(#REF!,"Terminado") / COUNTA(#REF!)</f>
        <v>#REF!</v>
      </c>
    </row>
    <row r="5" spans="2:33" ht="14.45">
      <c r="B5" t="s">
        <v>35</v>
      </c>
      <c r="C5" t="s">
        <v>22</v>
      </c>
      <c r="D5" t="s">
        <v>23</v>
      </c>
      <c r="E5" t="s">
        <v>24</v>
      </c>
      <c r="F5" s="1" t="s">
        <v>36</v>
      </c>
      <c r="G5" t="s">
        <v>37</v>
      </c>
      <c r="H5" t="s">
        <v>24</v>
      </c>
      <c r="I5" t="s">
        <v>28</v>
      </c>
      <c r="J5" s="26">
        <v>46112</v>
      </c>
      <c r="K5" s="26">
        <v>46142</v>
      </c>
      <c r="L5" t="s">
        <v>33</v>
      </c>
      <c r="M5" s="20"/>
      <c r="N5" s="20"/>
      <c r="O5" s="20"/>
      <c r="P5" s="20"/>
      <c r="Q5" s="20"/>
      <c r="R5" s="20"/>
      <c r="S5" s="20"/>
      <c r="T5" s="20"/>
      <c r="U5" s="25"/>
      <c r="V5" s="25"/>
      <c r="W5" s="29"/>
      <c r="X5" s="20"/>
      <c r="Y5" s="20"/>
      <c r="Z5" s="20"/>
      <c r="AA5" s="20"/>
      <c r="AB5" s="20"/>
      <c r="AC5" s="20"/>
    </row>
    <row r="6" spans="2:33" ht="16.5" customHeight="1">
      <c r="B6" t="s">
        <v>38</v>
      </c>
      <c r="C6" t="s">
        <v>22</v>
      </c>
      <c r="D6" t="s">
        <v>23</v>
      </c>
      <c r="E6" t="s">
        <v>24</v>
      </c>
      <c r="F6" s="1" t="s">
        <v>39</v>
      </c>
      <c r="G6" t="s">
        <v>26</v>
      </c>
      <c r="H6" t="s">
        <v>24</v>
      </c>
      <c r="I6" t="s">
        <v>28</v>
      </c>
      <c r="J6" s="26">
        <v>46114</v>
      </c>
      <c r="K6" s="26">
        <v>46142</v>
      </c>
      <c r="L6" t="s">
        <v>33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9"/>
      <c r="X6" s="29"/>
      <c r="Y6" s="29"/>
      <c r="Z6" s="20"/>
      <c r="AA6" s="20"/>
      <c r="AB6" s="20"/>
      <c r="AC6" s="20"/>
      <c r="AF6" s="23"/>
    </row>
    <row r="7" spans="2:33" ht="14.45">
      <c r="B7" t="s">
        <v>40</v>
      </c>
      <c r="C7" t="s">
        <v>22</v>
      </c>
      <c r="D7" t="s">
        <v>23</v>
      </c>
      <c r="E7" t="s">
        <v>41</v>
      </c>
      <c r="F7" s="1" t="s">
        <v>42</v>
      </c>
      <c r="G7" t="s">
        <v>26</v>
      </c>
      <c r="H7" t="s">
        <v>27</v>
      </c>
      <c r="I7" t="s">
        <v>43</v>
      </c>
      <c r="J7" s="26">
        <v>46055</v>
      </c>
      <c r="K7" s="26">
        <v>46086</v>
      </c>
      <c r="L7" t="s">
        <v>29</v>
      </c>
      <c r="M7" s="29"/>
      <c r="N7" s="29"/>
      <c r="O7" s="29"/>
      <c r="P7" s="29"/>
      <c r="Q7" s="29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F7" s="21" t="s">
        <v>44</v>
      </c>
      <c r="AG7" s="22">
        <f>COUNTIF(L3:L221,"Terminado") / COUNTA(L3:L221)</f>
        <v>0.63013698630136983</v>
      </c>
    </row>
    <row r="8" spans="2:33" ht="29.1">
      <c r="B8" t="s">
        <v>45</v>
      </c>
      <c r="C8" t="s">
        <v>22</v>
      </c>
      <c r="D8" t="s">
        <v>23</v>
      </c>
      <c r="E8" t="s">
        <v>41</v>
      </c>
      <c r="F8" s="1" t="s">
        <v>46</v>
      </c>
      <c r="G8" t="s">
        <v>47</v>
      </c>
      <c r="H8" t="s">
        <v>41</v>
      </c>
      <c r="I8" t="s">
        <v>43</v>
      </c>
      <c r="J8" s="26">
        <v>46114</v>
      </c>
      <c r="K8" s="26">
        <v>46107</v>
      </c>
      <c r="L8" t="s">
        <v>29</v>
      </c>
      <c r="M8" s="20"/>
      <c r="N8" s="20"/>
      <c r="O8" s="29"/>
      <c r="P8" s="29"/>
      <c r="Q8" s="29"/>
      <c r="R8" s="29"/>
      <c r="S8" s="29"/>
      <c r="T8" s="29"/>
      <c r="U8" s="20"/>
      <c r="V8" s="20"/>
      <c r="W8" s="20"/>
      <c r="X8" s="20"/>
      <c r="Y8" s="20"/>
      <c r="Z8" s="20"/>
      <c r="AA8" s="20"/>
      <c r="AB8" s="20"/>
      <c r="AC8" s="20"/>
      <c r="AF8" s="21" t="s">
        <v>48</v>
      </c>
      <c r="AG8" s="22">
        <f>COUNTIF(L222:L331,"Terminado") / COUNTA(L222:L331)</f>
        <v>0.89090909090909087</v>
      </c>
    </row>
    <row r="9" spans="2:33" ht="14.45">
      <c r="B9" t="s">
        <v>49</v>
      </c>
      <c r="C9" t="s">
        <v>22</v>
      </c>
      <c r="D9" t="s">
        <v>23</v>
      </c>
      <c r="E9" t="s">
        <v>41</v>
      </c>
      <c r="F9" s="1" t="s">
        <v>50</v>
      </c>
      <c r="G9" t="s">
        <v>51</v>
      </c>
      <c r="H9" t="s">
        <v>41</v>
      </c>
      <c r="I9" t="s">
        <v>43</v>
      </c>
      <c r="J9" s="26">
        <v>46114</v>
      </c>
      <c r="K9" s="26">
        <v>46128</v>
      </c>
      <c r="L9" t="s">
        <v>29</v>
      </c>
      <c r="M9" s="20"/>
      <c r="N9" s="20"/>
      <c r="O9" s="20"/>
      <c r="P9" s="20"/>
      <c r="Q9" s="20"/>
      <c r="R9" s="20"/>
      <c r="S9" s="20"/>
      <c r="T9" s="20"/>
      <c r="U9" s="29"/>
      <c r="V9" s="29"/>
      <c r="W9" s="29"/>
      <c r="X9" s="29"/>
      <c r="Y9" s="20"/>
      <c r="Z9" s="20"/>
      <c r="AA9" s="20"/>
      <c r="AB9" s="20"/>
      <c r="AC9" s="20"/>
    </row>
    <row r="10" spans="2:33" ht="14.45">
      <c r="B10" t="s">
        <v>52</v>
      </c>
      <c r="C10" t="s">
        <v>22</v>
      </c>
      <c r="D10" t="s">
        <v>23</v>
      </c>
      <c r="E10" t="s">
        <v>41</v>
      </c>
      <c r="F10" s="1" t="s">
        <v>53</v>
      </c>
      <c r="G10" t="s">
        <v>32</v>
      </c>
      <c r="H10" t="s">
        <v>41</v>
      </c>
      <c r="I10" t="s">
        <v>54</v>
      </c>
      <c r="J10" s="26">
        <v>46114</v>
      </c>
      <c r="K10" s="26">
        <v>46086</v>
      </c>
      <c r="L10" t="s">
        <v>29</v>
      </c>
      <c r="M10" s="20"/>
      <c r="N10" s="20"/>
      <c r="O10" s="29"/>
      <c r="P10" s="29"/>
      <c r="Q10" s="29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2:33" ht="14.45">
      <c r="B11" t="s">
        <v>55</v>
      </c>
      <c r="C11" t="s">
        <v>22</v>
      </c>
      <c r="D11" t="s">
        <v>23</v>
      </c>
      <c r="E11" t="s">
        <v>41</v>
      </c>
      <c r="F11" s="1" t="s">
        <v>56</v>
      </c>
      <c r="G11" t="s">
        <v>51</v>
      </c>
      <c r="H11" t="s">
        <v>41</v>
      </c>
      <c r="I11" t="s">
        <v>57</v>
      </c>
      <c r="J11" s="26">
        <v>46118</v>
      </c>
      <c r="K11" s="26">
        <v>46135</v>
      </c>
      <c r="L11" t="s">
        <v>58</v>
      </c>
      <c r="M11" s="20"/>
      <c r="N11" s="20"/>
      <c r="O11" s="20"/>
      <c r="P11" s="20"/>
      <c r="Q11" s="20"/>
      <c r="R11" s="20"/>
      <c r="S11" s="20"/>
      <c r="T11" s="20"/>
      <c r="U11" s="29"/>
      <c r="V11" s="33"/>
      <c r="W11" s="33"/>
      <c r="X11" s="33"/>
      <c r="Y11" s="34"/>
      <c r="Z11" s="34"/>
      <c r="AA11" s="34"/>
      <c r="AB11" s="34"/>
      <c r="AC11" s="20"/>
    </row>
    <row r="12" spans="2:33" ht="14.45">
      <c r="B12" t="s">
        <v>59</v>
      </c>
      <c r="C12" t="s">
        <v>22</v>
      </c>
      <c r="D12" t="s">
        <v>23</v>
      </c>
      <c r="E12" t="s">
        <v>60</v>
      </c>
      <c r="F12" s="1" t="s">
        <v>61</v>
      </c>
      <c r="G12" t="s">
        <v>26</v>
      </c>
      <c r="H12" t="s">
        <v>27</v>
      </c>
      <c r="I12" t="s">
        <v>62</v>
      </c>
      <c r="J12" s="26">
        <v>46118</v>
      </c>
      <c r="K12" s="26">
        <v>46128</v>
      </c>
      <c r="L12" t="s">
        <v>29</v>
      </c>
      <c r="M12" s="20"/>
      <c r="N12" s="20"/>
      <c r="O12" s="20"/>
      <c r="P12" s="20"/>
      <c r="Q12" s="20"/>
      <c r="R12" s="20"/>
      <c r="S12" s="20"/>
      <c r="T12" s="20"/>
      <c r="U12" s="54"/>
      <c r="V12" s="29"/>
      <c r="W12" s="29"/>
      <c r="X12" s="29"/>
      <c r="Y12" s="20"/>
      <c r="Z12" s="20"/>
      <c r="AA12" s="20"/>
      <c r="AB12" s="20"/>
      <c r="AC12" s="32"/>
    </row>
    <row r="13" spans="2:33" ht="14.45">
      <c r="B13" t="s">
        <v>63</v>
      </c>
      <c r="C13" t="s">
        <v>22</v>
      </c>
      <c r="D13" t="s">
        <v>23</v>
      </c>
      <c r="E13" t="s">
        <v>60</v>
      </c>
      <c r="F13" s="1" t="s">
        <v>64</v>
      </c>
      <c r="G13" t="s">
        <v>51</v>
      </c>
      <c r="H13" t="s">
        <v>60</v>
      </c>
      <c r="I13" t="s">
        <v>57</v>
      </c>
      <c r="J13" s="26">
        <v>46118</v>
      </c>
      <c r="K13" s="26">
        <v>46135</v>
      </c>
      <c r="L13" t="s">
        <v>58</v>
      </c>
      <c r="M13" s="20"/>
      <c r="N13" s="20"/>
      <c r="O13" s="20"/>
      <c r="P13" s="20"/>
      <c r="Q13" s="20"/>
      <c r="R13" s="20"/>
      <c r="S13" s="20"/>
      <c r="T13" s="20"/>
      <c r="U13" s="29"/>
      <c r="V13" s="55"/>
      <c r="W13" s="55"/>
      <c r="X13" s="55"/>
      <c r="Y13" s="35"/>
      <c r="Z13" s="35"/>
      <c r="AA13" s="35"/>
      <c r="AB13" s="35"/>
      <c r="AC13" s="20"/>
    </row>
    <row r="14" spans="2:33" ht="14.45">
      <c r="B14" t="s">
        <v>65</v>
      </c>
      <c r="C14" t="s">
        <v>22</v>
      </c>
      <c r="D14" t="s">
        <v>23</v>
      </c>
      <c r="E14" t="s">
        <v>60</v>
      </c>
      <c r="F14" s="1" t="s">
        <v>53</v>
      </c>
      <c r="G14" t="s">
        <v>32</v>
      </c>
      <c r="H14" t="s">
        <v>60</v>
      </c>
      <c r="I14" t="s">
        <v>54</v>
      </c>
      <c r="J14" s="26">
        <v>46125</v>
      </c>
      <c r="K14" s="26">
        <v>46142</v>
      </c>
      <c r="L14" t="s">
        <v>33</v>
      </c>
      <c r="M14" s="20"/>
      <c r="N14" s="20"/>
      <c r="O14" s="20"/>
      <c r="P14" s="20"/>
      <c r="Q14" s="20"/>
      <c r="R14" s="20"/>
      <c r="S14" s="20"/>
      <c r="T14" s="20"/>
      <c r="U14" s="20"/>
      <c r="V14" s="34"/>
      <c r="W14" s="33"/>
      <c r="X14" s="33"/>
      <c r="Y14" s="33"/>
      <c r="Z14" s="34"/>
      <c r="AA14" s="34"/>
      <c r="AB14" s="34"/>
      <c r="AC14" s="20"/>
    </row>
    <row r="15" spans="2:33" ht="14.45">
      <c r="B15" t="s">
        <v>66</v>
      </c>
      <c r="C15" t="s">
        <v>22</v>
      </c>
      <c r="D15" t="s">
        <v>23</v>
      </c>
      <c r="E15" t="s">
        <v>60</v>
      </c>
      <c r="F15" s="1" t="s">
        <v>56</v>
      </c>
      <c r="G15" t="s">
        <v>51</v>
      </c>
      <c r="H15" t="s">
        <v>60</v>
      </c>
      <c r="I15" t="s">
        <v>57</v>
      </c>
      <c r="J15" s="26">
        <v>46125</v>
      </c>
      <c r="K15" s="26">
        <v>46128</v>
      </c>
      <c r="L15" t="s">
        <v>29</v>
      </c>
      <c r="M15" s="20"/>
      <c r="N15" s="20"/>
      <c r="O15" s="20"/>
      <c r="P15" s="20"/>
      <c r="Q15" s="20"/>
      <c r="R15" s="20"/>
      <c r="S15" s="20"/>
      <c r="T15" s="20"/>
      <c r="U15" s="31"/>
      <c r="V15" s="20"/>
      <c r="W15" s="20"/>
      <c r="X15" s="29"/>
      <c r="Y15" s="29"/>
      <c r="Z15" s="29"/>
      <c r="AA15" s="29"/>
      <c r="AB15" s="20"/>
      <c r="AC15" s="32"/>
    </row>
    <row r="16" spans="2:33" ht="14.45">
      <c r="B16" t="s">
        <v>67</v>
      </c>
      <c r="C16" t="s">
        <v>22</v>
      </c>
      <c r="D16" t="s">
        <v>23</v>
      </c>
      <c r="E16" s="2" t="s">
        <v>68</v>
      </c>
      <c r="F16" s="1" t="s">
        <v>69</v>
      </c>
      <c r="G16" t="s">
        <v>51</v>
      </c>
      <c r="H16" t="s">
        <v>70</v>
      </c>
      <c r="I16" t="s">
        <v>57</v>
      </c>
      <c r="J16" s="26">
        <v>46133</v>
      </c>
      <c r="K16" s="26">
        <v>46149</v>
      </c>
      <c r="L16" t="s">
        <v>58</v>
      </c>
      <c r="M16" s="20"/>
      <c r="N16" s="20"/>
      <c r="O16" s="20"/>
      <c r="P16" s="20"/>
      <c r="Q16" s="20"/>
      <c r="R16" s="20"/>
      <c r="S16" s="20"/>
      <c r="T16" s="20"/>
      <c r="U16" s="20"/>
      <c r="V16" s="56"/>
      <c r="AA16" s="56"/>
      <c r="AB16" s="56"/>
      <c r="AC16" s="20"/>
    </row>
    <row r="17" spans="2:29" ht="14.45">
      <c r="B17" t="s">
        <v>71</v>
      </c>
      <c r="C17" t="s">
        <v>22</v>
      </c>
      <c r="D17" t="s">
        <v>23</v>
      </c>
      <c r="E17" s="2" t="s">
        <v>68</v>
      </c>
      <c r="F17" s="1" t="s">
        <v>72</v>
      </c>
      <c r="G17" t="s">
        <v>51</v>
      </c>
      <c r="H17" t="s">
        <v>73</v>
      </c>
      <c r="I17" t="s">
        <v>57</v>
      </c>
      <c r="J17" s="26">
        <v>46133</v>
      </c>
      <c r="K17" s="26">
        <v>46149</v>
      </c>
      <c r="L17" t="s">
        <v>33</v>
      </c>
      <c r="M17" s="20"/>
      <c r="N17" s="20"/>
      <c r="O17" s="20"/>
      <c r="P17" s="20"/>
      <c r="Q17" s="20"/>
      <c r="R17" s="20"/>
      <c r="S17" s="20"/>
      <c r="T17" s="20"/>
      <c r="U17" s="31"/>
      <c r="V17" s="20"/>
      <c r="W17" s="28"/>
      <c r="X17" s="28"/>
      <c r="Y17" s="28"/>
      <c r="Z17" s="28"/>
      <c r="AA17" s="20"/>
      <c r="AB17" s="20"/>
      <c r="AC17" s="32"/>
    </row>
    <row r="18" spans="2:29" ht="14.45">
      <c r="B18" t="s">
        <v>74</v>
      </c>
      <c r="C18" t="s">
        <v>22</v>
      </c>
      <c r="D18" t="s">
        <v>23</v>
      </c>
      <c r="E18" s="2" t="s">
        <v>68</v>
      </c>
      <c r="F18" s="1" t="s">
        <v>75</v>
      </c>
      <c r="G18" s="2" t="s">
        <v>76</v>
      </c>
      <c r="H18" t="s">
        <v>77</v>
      </c>
      <c r="I18" t="s">
        <v>57</v>
      </c>
      <c r="J18" s="26">
        <v>46133</v>
      </c>
      <c r="K18" s="26">
        <v>46149</v>
      </c>
      <c r="L18" t="s">
        <v>33</v>
      </c>
      <c r="M18" s="29"/>
      <c r="N18" s="29"/>
      <c r="O18" s="20"/>
      <c r="P18" s="20"/>
      <c r="Q18" s="20"/>
      <c r="R18" s="20"/>
      <c r="S18" s="20"/>
      <c r="T18" s="20"/>
      <c r="U18" s="31"/>
      <c r="V18" s="20"/>
      <c r="W18" s="20"/>
      <c r="X18" s="20"/>
      <c r="Y18" s="20"/>
      <c r="Z18" s="20"/>
      <c r="AA18" s="20"/>
      <c r="AB18" s="20"/>
      <c r="AC18" s="32"/>
    </row>
    <row r="19" spans="2:29" ht="14.45">
      <c r="B19" t="s">
        <v>78</v>
      </c>
      <c r="C19" t="s">
        <v>22</v>
      </c>
      <c r="D19" t="s">
        <v>23</v>
      </c>
      <c r="E19" s="2" t="s">
        <v>79</v>
      </c>
      <c r="F19" s="1" t="s">
        <v>80</v>
      </c>
      <c r="G19" s="2" t="s">
        <v>37</v>
      </c>
      <c r="I19" t="s">
        <v>43</v>
      </c>
      <c r="J19" s="26">
        <v>46118</v>
      </c>
      <c r="K19" s="26">
        <v>46128</v>
      </c>
      <c r="L19" t="s">
        <v>29</v>
      </c>
      <c r="M19" s="20"/>
      <c r="N19" s="20"/>
      <c r="O19" s="34"/>
      <c r="P19" s="34"/>
      <c r="Q19" s="34"/>
      <c r="R19" s="34"/>
      <c r="S19" s="34"/>
      <c r="T19" s="34"/>
      <c r="U19" s="34"/>
      <c r="V19" s="53"/>
      <c r="W19" s="53"/>
      <c r="X19" s="56"/>
      <c r="Y19" s="35"/>
      <c r="Z19" s="35"/>
      <c r="AA19" s="35"/>
      <c r="AB19" s="35"/>
      <c r="AC19" s="20"/>
    </row>
    <row r="20" spans="2:29" ht="14.45">
      <c r="B20" t="s">
        <v>81</v>
      </c>
      <c r="C20" t="s">
        <v>22</v>
      </c>
      <c r="D20" t="s">
        <v>23</v>
      </c>
      <c r="E20" s="2" t="s">
        <v>79</v>
      </c>
      <c r="F20" s="1" t="s">
        <v>82</v>
      </c>
      <c r="G20" s="2" t="s">
        <v>37</v>
      </c>
      <c r="I20" t="s">
        <v>43</v>
      </c>
      <c r="J20" s="26">
        <v>46118</v>
      </c>
      <c r="K20" s="26">
        <v>46135</v>
      </c>
      <c r="L20" t="s">
        <v>33</v>
      </c>
      <c r="M20" s="20"/>
      <c r="N20" s="20"/>
      <c r="O20" s="34"/>
      <c r="P20" s="34"/>
      <c r="Q20" s="34"/>
      <c r="R20" s="34"/>
      <c r="S20" s="34"/>
      <c r="T20" s="34"/>
      <c r="U20" s="34"/>
      <c r="V20" s="34"/>
      <c r="W20" s="33"/>
      <c r="X20" s="33"/>
      <c r="Y20" s="20"/>
      <c r="Z20" s="20"/>
      <c r="AA20" s="20"/>
      <c r="AB20" s="20"/>
      <c r="AC20" s="20"/>
    </row>
    <row r="21" spans="2:29" ht="14.45">
      <c r="B21" t="s">
        <v>83</v>
      </c>
      <c r="C21" t="s">
        <v>22</v>
      </c>
      <c r="D21" t="s">
        <v>23</v>
      </c>
      <c r="E21" s="2" t="s">
        <v>79</v>
      </c>
      <c r="F21" s="1" t="s">
        <v>84</v>
      </c>
      <c r="G21" s="2" t="s">
        <v>26</v>
      </c>
      <c r="I21" t="s">
        <v>43</v>
      </c>
      <c r="J21" s="26">
        <v>46125</v>
      </c>
      <c r="K21" s="26">
        <v>46142</v>
      </c>
      <c r="L21" t="s">
        <v>33</v>
      </c>
      <c r="M21" s="20"/>
      <c r="N21" s="20"/>
      <c r="O21" s="34"/>
      <c r="P21" s="34"/>
      <c r="Q21" s="34"/>
      <c r="R21" s="34"/>
      <c r="S21" s="34"/>
      <c r="T21" s="34"/>
      <c r="U21" s="34"/>
      <c r="V21" s="34"/>
      <c r="W21" s="33"/>
      <c r="X21" s="33"/>
      <c r="Y21" s="20"/>
      <c r="Z21" s="20"/>
      <c r="AA21" s="20"/>
      <c r="AB21" s="20"/>
      <c r="AC21" s="20"/>
    </row>
    <row r="22" spans="2:29" ht="14.45">
      <c r="B22" t="s">
        <v>85</v>
      </c>
      <c r="C22" t="s">
        <v>22</v>
      </c>
      <c r="D22" t="s">
        <v>23</v>
      </c>
      <c r="E22" s="2" t="s">
        <v>79</v>
      </c>
      <c r="F22" s="1" t="s">
        <v>86</v>
      </c>
      <c r="G22" s="2" t="s">
        <v>51</v>
      </c>
      <c r="I22" t="s">
        <v>57</v>
      </c>
      <c r="J22" s="26">
        <v>46125</v>
      </c>
      <c r="K22" s="26">
        <v>46142</v>
      </c>
      <c r="L22" t="s">
        <v>33</v>
      </c>
      <c r="M22" s="20"/>
      <c r="N22" s="20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20"/>
      <c r="Z22" s="20"/>
      <c r="AA22" s="20"/>
      <c r="AB22" s="20"/>
      <c r="AC22" s="20"/>
    </row>
    <row r="23" spans="2:29" ht="14.45">
      <c r="B23" t="s">
        <v>87</v>
      </c>
      <c r="C23" t="s">
        <v>22</v>
      </c>
      <c r="D23" t="s">
        <v>88</v>
      </c>
      <c r="E23" s="2" t="s">
        <v>89</v>
      </c>
      <c r="F23" s="1" t="s">
        <v>90</v>
      </c>
      <c r="G23" s="2" t="s">
        <v>26</v>
      </c>
      <c r="I23" s="38" t="s">
        <v>91</v>
      </c>
      <c r="J23" s="95">
        <v>46055</v>
      </c>
      <c r="K23" s="96">
        <v>46073</v>
      </c>
      <c r="L23" t="s">
        <v>29</v>
      </c>
      <c r="M23" s="68" t="s">
        <v>92</v>
      </c>
      <c r="N23" s="69" t="s">
        <v>92</v>
      </c>
      <c r="O23" s="69" t="s">
        <v>92</v>
      </c>
      <c r="P23" s="70" t="s">
        <v>92</v>
      </c>
      <c r="Q23" s="70" t="s">
        <v>92</v>
      </c>
      <c r="R23" s="70" t="s">
        <v>92</v>
      </c>
      <c r="S23" s="70" t="s">
        <v>92</v>
      </c>
      <c r="T23" s="70" t="s">
        <v>92</v>
      </c>
      <c r="U23" s="70" t="s">
        <v>92</v>
      </c>
      <c r="V23" s="70" t="s">
        <v>92</v>
      </c>
      <c r="W23" s="70" t="s">
        <v>92</v>
      </c>
      <c r="X23" s="70" t="s">
        <v>92</v>
      </c>
      <c r="Y23" s="70" t="s">
        <v>92</v>
      </c>
      <c r="Z23" s="70" t="s">
        <v>92</v>
      </c>
      <c r="AA23" s="70" t="s">
        <v>92</v>
      </c>
      <c r="AB23" s="70" t="s">
        <v>92</v>
      </c>
      <c r="AC23" s="70" t="s">
        <v>92</v>
      </c>
    </row>
    <row r="24" spans="2:29" ht="14.45">
      <c r="B24" t="s">
        <v>93</v>
      </c>
      <c r="C24" t="s">
        <v>22</v>
      </c>
      <c r="D24" t="s">
        <v>88</v>
      </c>
      <c r="E24" s="2" t="s">
        <v>89</v>
      </c>
      <c r="F24" s="1" t="s">
        <v>94</v>
      </c>
      <c r="G24" s="2" t="s">
        <v>32</v>
      </c>
      <c r="I24" t="s">
        <v>91</v>
      </c>
      <c r="J24" s="26">
        <v>46076</v>
      </c>
      <c r="K24" s="26">
        <v>46080</v>
      </c>
      <c r="L24" t="s">
        <v>29</v>
      </c>
      <c r="M24" s="71" t="s">
        <v>92</v>
      </c>
      <c r="N24" s="72" t="s">
        <v>92</v>
      </c>
      <c r="O24" s="72" t="s">
        <v>92</v>
      </c>
      <c r="P24" s="73" t="s">
        <v>92</v>
      </c>
      <c r="Q24" s="74" t="s">
        <v>92</v>
      </c>
      <c r="R24" s="74" t="s">
        <v>92</v>
      </c>
      <c r="S24" s="74" t="s">
        <v>92</v>
      </c>
      <c r="T24" s="74" t="s">
        <v>92</v>
      </c>
      <c r="U24" s="74" t="s">
        <v>92</v>
      </c>
      <c r="V24" s="74" t="s">
        <v>92</v>
      </c>
      <c r="W24" s="74" t="s">
        <v>92</v>
      </c>
      <c r="X24" s="72" t="s">
        <v>92</v>
      </c>
      <c r="Y24" s="72" t="s">
        <v>92</v>
      </c>
      <c r="Z24" s="72" t="s">
        <v>92</v>
      </c>
      <c r="AA24" s="72" t="s">
        <v>92</v>
      </c>
      <c r="AB24" s="72" t="s">
        <v>92</v>
      </c>
      <c r="AC24" s="72" t="s">
        <v>92</v>
      </c>
    </row>
    <row r="25" spans="2:29" ht="14.45">
      <c r="B25" t="s">
        <v>95</v>
      </c>
      <c r="C25" t="s">
        <v>22</v>
      </c>
      <c r="D25" t="s">
        <v>88</v>
      </c>
      <c r="E25" s="2" t="s">
        <v>89</v>
      </c>
      <c r="F25" s="1" t="s">
        <v>96</v>
      </c>
      <c r="G25" s="2" t="s">
        <v>26</v>
      </c>
      <c r="I25" t="s">
        <v>91</v>
      </c>
      <c r="J25" s="95">
        <v>46083</v>
      </c>
      <c r="K25" s="96">
        <v>46087</v>
      </c>
      <c r="L25" t="s">
        <v>29</v>
      </c>
      <c r="M25" s="71" t="s">
        <v>92</v>
      </c>
      <c r="N25" s="72" t="s">
        <v>92</v>
      </c>
      <c r="O25" s="72" t="s">
        <v>92</v>
      </c>
      <c r="P25" s="74" t="s">
        <v>92</v>
      </c>
      <c r="Q25" s="73" t="s">
        <v>92</v>
      </c>
      <c r="R25" s="74" t="s">
        <v>92</v>
      </c>
      <c r="S25" s="74" t="s">
        <v>92</v>
      </c>
      <c r="T25" s="74" t="s">
        <v>92</v>
      </c>
      <c r="U25" s="74" t="s">
        <v>92</v>
      </c>
      <c r="V25" s="74" t="s">
        <v>92</v>
      </c>
      <c r="W25" s="74" t="s">
        <v>92</v>
      </c>
      <c r="X25" s="72" t="s">
        <v>92</v>
      </c>
      <c r="Y25" s="72" t="s">
        <v>92</v>
      </c>
      <c r="Z25" s="72" t="s">
        <v>92</v>
      </c>
      <c r="AA25" s="72" t="s">
        <v>92</v>
      </c>
      <c r="AB25" s="72" t="s">
        <v>92</v>
      </c>
      <c r="AC25" s="72" t="s">
        <v>92</v>
      </c>
    </row>
    <row r="26" spans="2:29" ht="14.45">
      <c r="B26" t="s">
        <v>97</v>
      </c>
      <c r="C26" t="s">
        <v>22</v>
      </c>
      <c r="D26" t="s">
        <v>88</v>
      </c>
      <c r="E26" s="2" t="s">
        <v>89</v>
      </c>
      <c r="F26" s="1" t="s">
        <v>98</v>
      </c>
      <c r="G26" s="2" t="s">
        <v>26</v>
      </c>
      <c r="I26" t="s">
        <v>91</v>
      </c>
      <c r="J26" s="26">
        <v>46090</v>
      </c>
      <c r="K26" s="26">
        <v>46108</v>
      </c>
      <c r="L26" t="s">
        <v>29</v>
      </c>
      <c r="M26" s="71" t="s">
        <v>92</v>
      </c>
      <c r="N26" s="72" t="s">
        <v>92</v>
      </c>
      <c r="O26" s="72" t="s">
        <v>92</v>
      </c>
      <c r="P26" s="74" t="s">
        <v>92</v>
      </c>
      <c r="Q26" s="74" t="s">
        <v>92</v>
      </c>
      <c r="R26" s="73" t="s">
        <v>92</v>
      </c>
      <c r="S26" s="73" t="s">
        <v>92</v>
      </c>
      <c r="T26" s="73" t="s">
        <v>92</v>
      </c>
      <c r="U26" s="74" t="s">
        <v>92</v>
      </c>
      <c r="V26" s="74" t="s">
        <v>92</v>
      </c>
      <c r="W26" s="74" t="s">
        <v>92</v>
      </c>
      <c r="X26" s="72" t="s">
        <v>92</v>
      </c>
      <c r="Y26" s="72" t="s">
        <v>92</v>
      </c>
      <c r="Z26" s="72" t="s">
        <v>92</v>
      </c>
      <c r="AA26" s="72" t="s">
        <v>92</v>
      </c>
      <c r="AB26" s="72" t="s">
        <v>92</v>
      </c>
      <c r="AC26" s="72" t="s">
        <v>92</v>
      </c>
    </row>
    <row r="27" spans="2:29" ht="14.45">
      <c r="B27" t="s">
        <v>99</v>
      </c>
      <c r="C27" t="s">
        <v>22</v>
      </c>
      <c r="D27" t="s">
        <v>88</v>
      </c>
      <c r="E27" s="2" t="s">
        <v>89</v>
      </c>
      <c r="F27" s="1" t="s">
        <v>100</v>
      </c>
      <c r="G27" s="2" t="s">
        <v>37</v>
      </c>
      <c r="I27" t="s">
        <v>91</v>
      </c>
      <c r="J27" s="95">
        <v>46104</v>
      </c>
      <c r="K27" s="96">
        <v>46122</v>
      </c>
      <c r="L27" t="s">
        <v>29</v>
      </c>
      <c r="M27" s="75" t="s">
        <v>92</v>
      </c>
      <c r="N27" s="74" t="s">
        <v>92</v>
      </c>
      <c r="O27" s="74" t="s">
        <v>92</v>
      </c>
      <c r="P27" s="74" t="s">
        <v>92</v>
      </c>
      <c r="Q27" s="74" t="s">
        <v>92</v>
      </c>
      <c r="R27" s="74" t="s">
        <v>92</v>
      </c>
      <c r="S27" s="74" t="s">
        <v>92</v>
      </c>
      <c r="T27" s="73" t="s">
        <v>92</v>
      </c>
      <c r="U27" s="73" t="s">
        <v>92</v>
      </c>
      <c r="V27" s="73" t="s">
        <v>92</v>
      </c>
      <c r="W27" s="74" t="s">
        <v>92</v>
      </c>
      <c r="X27" s="72" t="s">
        <v>92</v>
      </c>
      <c r="Y27" s="72" t="s">
        <v>92</v>
      </c>
      <c r="Z27" s="72" t="s">
        <v>92</v>
      </c>
      <c r="AA27" s="72" t="s">
        <v>92</v>
      </c>
      <c r="AB27" s="72" t="s">
        <v>92</v>
      </c>
      <c r="AC27" s="72" t="s">
        <v>92</v>
      </c>
    </row>
    <row r="28" spans="2:29" ht="17.25" customHeight="1">
      <c r="B28" t="s">
        <v>101</v>
      </c>
      <c r="C28" t="s">
        <v>22</v>
      </c>
      <c r="D28" t="s">
        <v>88</v>
      </c>
      <c r="E28" s="2" t="s">
        <v>89</v>
      </c>
      <c r="F28" s="1" t="s">
        <v>102</v>
      </c>
      <c r="G28" s="2" t="s">
        <v>26</v>
      </c>
      <c r="I28" t="s">
        <v>91</v>
      </c>
      <c r="J28" s="26">
        <v>46118</v>
      </c>
      <c r="K28" s="26">
        <v>46129</v>
      </c>
      <c r="L28" t="s">
        <v>29</v>
      </c>
      <c r="M28" s="75" t="s">
        <v>92</v>
      </c>
      <c r="N28" s="74" t="s">
        <v>92</v>
      </c>
      <c r="O28" s="74" t="s">
        <v>92</v>
      </c>
      <c r="P28" s="74" t="s">
        <v>92</v>
      </c>
      <c r="Q28" s="74" t="s">
        <v>92</v>
      </c>
      <c r="R28" s="74" t="s">
        <v>92</v>
      </c>
      <c r="S28" s="74" t="s">
        <v>92</v>
      </c>
      <c r="T28" s="74" t="s">
        <v>92</v>
      </c>
      <c r="U28" s="74" t="s">
        <v>92</v>
      </c>
      <c r="V28" s="73" t="s">
        <v>92</v>
      </c>
      <c r="W28" s="73" t="s">
        <v>92</v>
      </c>
      <c r="X28" s="72" t="s">
        <v>92</v>
      </c>
      <c r="Y28" s="72" t="s">
        <v>92</v>
      </c>
      <c r="Z28" s="72" t="s">
        <v>92</v>
      </c>
      <c r="AA28" s="72" t="s">
        <v>92</v>
      </c>
      <c r="AB28" s="72" t="s">
        <v>92</v>
      </c>
      <c r="AC28" s="72" t="s">
        <v>92</v>
      </c>
    </row>
    <row r="29" spans="2:29" ht="18.75" customHeight="1">
      <c r="B29" t="s">
        <v>103</v>
      </c>
      <c r="C29" t="s">
        <v>22</v>
      </c>
      <c r="D29" t="s">
        <v>88</v>
      </c>
      <c r="E29" s="2" t="s">
        <v>89</v>
      </c>
      <c r="F29" s="1" t="s">
        <v>104</v>
      </c>
      <c r="G29" s="2" t="s">
        <v>105</v>
      </c>
      <c r="I29" s="106" t="s">
        <v>91</v>
      </c>
      <c r="J29" s="107">
        <v>46118</v>
      </c>
      <c r="K29" s="108">
        <v>46178</v>
      </c>
      <c r="L29" t="s">
        <v>106</v>
      </c>
      <c r="M29" s="75" t="s">
        <v>92</v>
      </c>
      <c r="N29" s="74" t="s">
        <v>92</v>
      </c>
      <c r="O29" s="74" t="s">
        <v>92</v>
      </c>
      <c r="P29" s="74" t="s">
        <v>92</v>
      </c>
      <c r="Q29" s="74" t="s">
        <v>92</v>
      </c>
      <c r="R29" s="74" t="s">
        <v>92</v>
      </c>
      <c r="S29" s="74" t="s">
        <v>92</v>
      </c>
      <c r="T29" s="74" t="s">
        <v>92</v>
      </c>
      <c r="U29" s="74" t="s">
        <v>92</v>
      </c>
      <c r="V29" s="73" t="s">
        <v>92</v>
      </c>
      <c r="W29" s="73" t="s">
        <v>92</v>
      </c>
      <c r="X29" s="72" t="s">
        <v>92</v>
      </c>
      <c r="Y29" s="72" t="s">
        <v>92</v>
      </c>
      <c r="Z29" s="72" t="s">
        <v>92</v>
      </c>
      <c r="AA29" s="74" t="s">
        <v>92</v>
      </c>
      <c r="AB29" s="72" t="s">
        <v>92</v>
      </c>
      <c r="AC29" s="72" t="s">
        <v>92</v>
      </c>
    </row>
    <row r="30" spans="2:29" ht="14.45">
      <c r="B30" t="s">
        <v>107</v>
      </c>
      <c r="C30" t="s">
        <v>22</v>
      </c>
      <c r="D30" t="s">
        <v>88</v>
      </c>
      <c r="E30" s="2" t="s">
        <v>89</v>
      </c>
      <c r="F30" s="1" t="s">
        <v>108</v>
      </c>
      <c r="G30" s="2" t="s">
        <v>51</v>
      </c>
      <c r="I30" t="s">
        <v>91</v>
      </c>
      <c r="J30" s="26">
        <v>46132</v>
      </c>
      <c r="K30" s="26">
        <v>46143</v>
      </c>
      <c r="L30" t="s">
        <v>29</v>
      </c>
      <c r="M30" s="76" t="s">
        <v>92</v>
      </c>
      <c r="N30" s="77" t="s">
        <v>92</v>
      </c>
      <c r="O30" s="77" t="s">
        <v>92</v>
      </c>
      <c r="P30" s="77" t="s">
        <v>92</v>
      </c>
      <c r="Q30" s="77" t="s">
        <v>92</v>
      </c>
      <c r="R30" s="77" t="s">
        <v>92</v>
      </c>
      <c r="S30" s="77" t="s">
        <v>92</v>
      </c>
      <c r="T30" s="77" t="s">
        <v>92</v>
      </c>
      <c r="U30" s="77" t="s">
        <v>92</v>
      </c>
      <c r="V30" s="77" t="s">
        <v>92</v>
      </c>
      <c r="W30" s="77" t="s">
        <v>92</v>
      </c>
      <c r="X30" s="73" t="s">
        <v>92</v>
      </c>
      <c r="Y30" s="73" t="s">
        <v>92</v>
      </c>
      <c r="Z30" s="72" t="s">
        <v>92</v>
      </c>
      <c r="AA30" s="74" t="s">
        <v>92</v>
      </c>
      <c r="AB30" s="72" t="s">
        <v>92</v>
      </c>
      <c r="AC30" s="72" t="s">
        <v>92</v>
      </c>
    </row>
    <row r="31" spans="2:29" ht="14.45">
      <c r="B31" t="s">
        <v>109</v>
      </c>
      <c r="C31" t="s">
        <v>22</v>
      </c>
      <c r="D31" t="s">
        <v>88</v>
      </c>
      <c r="E31" s="2" t="s">
        <v>89</v>
      </c>
      <c r="F31" s="1" t="s">
        <v>110</v>
      </c>
      <c r="G31" s="2" t="s">
        <v>111</v>
      </c>
      <c r="I31" t="s">
        <v>91</v>
      </c>
      <c r="J31" s="109">
        <v>46146</v>
      </c>
      <c r="K31" s="110">
        <v>46157</v>
      </c>
      <c r="L31" t="s">
        <v>33</v>
      </c>
      <c r="M31" s="76" t="s">
        <v>92</v>
      </c>
      <c r="N31" s="77" t="s">
        <v>92</v>
      </c>
      <c r="O31" s="77" t="s">
        <v>92</v>
      </c>
      <c r="P31" s="77" t="s">
        <v>92</v>
      </c>
      <c r="Q31" s="77" t="s">
        <v>92</v>
      </c>
      <c r="R31" s="77" t="s">
        <v>92</v>
      </c>
      <c r="S31" s="77" t="s">
        <v>92</v>
      </c>
      <c r="T31" s="77" t="s">
        <v>92</v>
      </c>
      <c r="U31" s="77" t="s">
        <v>92</v>
      </c>
      <c r="V31" s="77" t="s">
        <v>92</v>
      </c>
      <c r="W31" s="77" t="s">
        <v>92</v>
      </c>
      <c r="X31" s="72" t="s">
        <v>92</v>
      </c>
      <c r="Y31" s="74" t="s">
        <v>92</v>
      </c>
      <c r="Z31" s="73" t="s">
        <v>92</v>
      </c>
      <c r="AA31" s="73" t="s">
        <v>92</v>
      </c>
      <c r="AB31" s="72" t="s">
        <v>92</v>
      </c>
      <c r="AC31" s="72" t="s">
        <v>92</v>
      </c>
    </row>
    <row r="32" spans="2:29" ht="17.25" customHeight="1">
      <c r="B32" t="s">
        <v>112</v>
      </c>
      <c r="C32" t="s">
        <v>22</v>
      </c>
      <c r="D32" t="s">
        <v>88</v>
      </c>
      <c r="E32" s="2" t="s">
        <v>89</v>
      </c>
      <c r="F32" s="1" t="s">
        <v>113</v>
      </c>
      <c r="G32" s="2" t="s">
        <v>113</v>
      </c>
      <c r="I32" t="s">
        <v>91</v>
      </c>
      <c r="J32" s="26">
        <v>46146</v>
      </c>
      <c r="K32" s="26">
        <v>46157</v>
      </c>
      <c r="L32" t="s">
        <v>33</v>
      </c>
      <c r="M32" s="76" t="s">
        <v>92</v>
      </c>
      <c r="N32" s="77" t="s">
        <v>92</v>
      </c>
      <c r="O32" s="77" t="s">
        <v>92</v>
      </c>
      <c r="P32" s="77" t="s">
        <v>92</v>
      </c>
      <c r="Q32" s="77" t="s">
        <v>92</v>
      </c>
      <c r="R32" s="77" t="s">
        <v>92</v>
      </c>
      <c r="S32" s="77" t="s">
        <v>92</v>
      </c>
      <c r="T32" s="77" t="s">
        <v>92</v>
      </c>
      <c r="U32" s="77" t="s">
        <v>92</v>
      </c>
      <c r="V32" s="77" t="s">
        <v>92</v>
      </c>
      <c r="W32" s="77" t="s">
        <v>92</v>
      </c>
      <c r="X32" s="72" t="s">
        <v>92</v>
      </c>
      <c r="Y32" s="74" t="s">
        <v>92</v>
      </c>
      <c r="Z32" s="73" t="s">
        <v>92</v>
      </c>
      <c r="AA32" s="73" t="s">
        <v>92</v>
      </c>
      <c r="AB32" s="72" t="s">
        <v>92</v>
      </c>
      <c r="AC32" s="72" t="s">
        <v>92</v>
      </c>
    </row>
    <row r="33" spans="2:29" ht="14.45">
      <c r="B33" t="s">
        <v>114</v>
      </c>
      <c r="C33" t="s">
        <v>22</v>
      </c>
      <c r="D33" t="s">
        <v>88</v>
      </c>
      <c r="E33" s="2" t="s">
        <v>115</v>
      </c>
      <c r="F33" s="1" t="s">
        <v>116</v>
      </c>
      <c r="G33" s="2" t="s">
        <v>117</v>
      </c>
      <c r="I33" t="s">
        <v>118</v>
      </c>
      <c r="J33" s="95">
        <v>46055</v>
      </c>
      <c r="K33" s="96">
        <v>46059</v>
      </c>
      <c r="L33" t="s">
        <v>29</v>
      </c>
      <c r="M33" s="78" t="s">
        <v>92</v>
      </c>
      <c r="N33" s="74" t="s">
        <v>92</v>
      </c>
      <c r="O33" s="74" t="s">
        <v>92</v>
      </c>
      <c r="P33" s="74" t="s">
        <v>92</v>
      </c>
      <c r="Q33" s="74" t="s">
        <v>92</v>
      </c>
      <c r="R33" s="74" t="s">
        <v>92</v>
      </c>
      <c r="S33" s="74" t="s">
        <v>92</v>
      </c>
      <c r="T33" s="74" t="s">
        <v>92</v>
      </c>
      <c r="U33" s="74" t="s">
        <v>92</v>
      </c>
      <c r="V33" s="74" t="s">
        <v>92</v>
      </c>
      <c r="W33" s="74" t="s">
        <v>92</v>
      </c>
      <c r="X33" s="72" t="s">
        <v>92</v>
      </c>
      <c r="Y33" s="72" t="s">
        <v>92</v>
      </c>
      <c r="Z33" s="72" t="s">
        <v>92</v>
      </c>
      <c r="AA33" s="74" t="s">
        <v>92</v>
      </c>
      <c r="AB33" s="72" t="s">
        <v>92</v>
      </c>
      <c r="AC33" s="72" t="s">
        <v>92</v>
      </c>
    </row>
    <row r="34" spans="2:29" ht="14.45">
      <c r="B34" t="s">
        <v>119</v>
      </c>
      <c r="C34" t="s">
        <v>22</v>
      </c>
      <c r="D34" t="s">
        <v>88</v>
      </c>
      <c r="E34" s="2" t="s">
        <v>115</v>
      </c>
      <c r="F34" s="1" t="s">
        <v>120</v>
      </c>
      <c r="G34" s="2" t="s">
        <v>121</v>
      </c>
      <c r="I34" t="s">
        <v>118</v>
      </c>
      <c r="J34" s="26">
        <v>46055</v>
      </c>
      <c r="K34" s="26">
        <v>46066</v>
      </c>
      <c r="L34" t="s">
        <v>29</v>
      </c>
      <c r="M34" s="78" t="s">
        <v>92</v>
      </c>
      <c r="N34" s="73" t="s">
        <v>92</v>
      </c>
      <c r="O34" s="74" t="s">
        <v>92</v>
      </c>
      <c r="P34" s="74" t="s">
        <v>92</v>
      </c>
      <c r="Q34" s="74" t="s">
        <v>92</v>
      </c>
      <c r="R34" s="74" t="s">
        <v>92</v>
      </c>
      <c r="S34" s="74" t="s">
        <v>92</v>
      </c>
      <c r="T34" s="74" t="s">
        <v>92</v>
      </c>
      <c r="U34" s="74" t="s">
        <v>92</v>
      </c>
      <c r="V34" s="72" t="s">
        <v>92</v>
      </c>
      <c r="W34" s="72" t="s">
        <v>92</v>
      </c>
      <c r="X34" s="72" t="s">
        <v>92</v>
      </c>
      <c r="Y34" s="72" t="s">
        <v>92</v>
      </c>
      <c r="Z34" s="72" t="s">
        <v>92</v>
      </c>
      <c r="AA34" s="72" t="s">
        <v>92</v>
      </c>
      <c r="AB34" s="72" t="s">
        <v>92</v>
      </c>
      <c r="AC34" s="72" t="s">
        <v>92</v>
      </c>
    </row>
    <row r="35" spans="2:29" ht="14.45">
      <c r="B35" t="s">
        <v>122</v>
      </c>
      <c r="C35" t="s">
        <v>22</v>
      </c>
      <c r="D35" t="s">
        <v>88</v>
      </c>
      <c r="E35" s="2" t="s">
        <v>115</v>
      </c>
      <c r="F35" s="1" t="s">
        <v>123</v>
      </c>
      <c r="G35" s="2" t="s">
        <v>47</v>
      </c>
      <c r="I35" t="s">
        <v>124</v>
      </c>
      <c r="J35" s="95">
        <v>46069</v>
      </c>
      <c r="K35" s="96">
        <v>46073</v>
      </c>
      <c r="L35" t="s">
        <v>29</v>
      </c>
      <c r="M35" s="75" t="s">
        <v>92</v>
      </c>
      <c r="N35" s="74" t="s">
        <v>92</v>
      </c>
      <c r="O35" s="73" t="s">
        <v>92</v>
      </c>
      <c r="P35" s="74" t="s">
        <v>92</v>
      </c>
      <c r="Q35" s="74" t="s">
        <v>92</v>
      </c>
      <c r="R35" s="74" t="s">
        <v>92</v>
      </c>
      <c r="S35" s="74" t="s">
        <v>92</v>
      </c>
      <c r="T35" s="74" t="s">
        <v>92</v>
      </c>
      <c r="U35" s="74" t="s">
        <v>92</v>
      </c>
      <c r="V35" s="72" t="s">
        <v>92</v>
      </c>
      <c r="W35" s="72" t="s">
        <v>92</v>
      </c>
      <c r="X35" s="74" t="s">
        <v>92</v>
      </c>
      <c r="Y35" s="72" t="s">
        <v>92</v>
      </c>
      <c r="Z35" s="72" t="s">
        <v>92</v>
      </c>
      <c r="AA35" s="72" t="s">
        <v>92</v>
      </c>
      <c r="AB35" s="72" t="s">
        <v>92</v>
      </c>
      <c r="AC35" s="72" t="s">
        <v>92</v>
      </c>
    </row>
    <row r="36" spans="2:29" ht="14.45">
      <c r="B36" t="s">
        <v>125</v>
      </c>
      <c r="C36" t="s">
        <v>22</v>
      </c>
      <c r="D36" t="s">
        <v>88</v>
      </c>
      <c r="E36" s="2" t="s">
        <v>115</v>
      </c>
      <c r="F36" s="1" t="s">
        <v>126</v>
      </c>
      <c r="G36" s="2" t="s">
        <v>26</v>
      </c>
      <c r="I36" t="s">
        <v>124</v>
      </c>
      <c r="J36" s="26">
        <v>46076</v>
      </c>
      <c r="K36" s="26">
        <v>46087</v>
      </c>
      <c r="L36" t="s">
        <v>29</v>
      </c>
      <c r="M36" s="71" t="s">
        <v>92</v>
      </c>
      <c r="N36" s="72" t="s">
        <v>92</v>
      </c>
      <c r="O36" s="72" t="s">
        <v>92</v>
      </c>
      <c r="P36" s="73" t="s">
        <v>92</v>
      </c>
      <c r="Q36" s="73" t="s">
        <v>92</v>
      </c>
      <c r="R36" s="72" t="s">
        <v>92</v>
      </c>
      <c r="S36" s="72" t="s">
        <v>92</v>
      </c>
      <c r="T36" s="72" t="s">
        <v>92</v>
      </c>
      <c r="U36" s="72" t="s">
        <v>92</v>
      </c>
      <c r="V36" s="72" t="s">
        <v>92</v>
      </c>
      <c r="W36" s="72" t="s">
        <v>92</v>
      </c>
      <c r="X36" s="74" t="s">
        <v>92</v>
      </c>
      <c r="Y36" s="72" t="s">
        <v>92</v>
      </c>
      <c r="Z36" s="72" t="s">
        <v>92</v>
      </c>
      <c r="AA36" s="72" t="s">
        <v>92</v>
      </c>
      <c r="AB36" s="72" t="s">
        <v>92</v>
      </c>
      <c r="AC36" s="72" t="s">
        <v>92</v>
      </c>
    </row>
    <row r="37" spans="2:29" ht="14.45">
      <c r="B37" t="s">
        <v>127</v>
      </c>
      <c r="C37" t="s">
        <v>22</v>
      </c>
      <c r="D37" t="s">
        <v>88</v>
      </c>
      <c r="E37" s="2" t="s">
        <v>115</v>
      </c>
      <c r="F37" s="1" t="s">
        <v>128</v>
      </c>
      <c r="G37" s="2" t="s">
        <v>51</v>
      </c>
      <c r="I37" t="s">
        <v>124</v>
      </c>
      <c r="J37" s="95">
        <v>46076</v>
      </c>
      <c r="K37" s="96">
        <v>46129</v>
      </c>
      <c r="L37" t="s">
        <v>29</v>
      </c>
      <c r="M37" s="71" t="s">
        <v>92</v>
      </c>
      <c r="N37" s="72" t="s">
        <v>92</v>
      </c>
      <c r="O37" s="72" t="s">
        <v>92</v>
      </c>
      <c r="P37" s="73" t="s">
        <v>92</v>
      </c>
      <c r="Q37" s="73" t="s">
        <v>92</v>
      </c>
      <c r="R37" s="73" t="s">
        <v>92</v>
      </c>
      <c r="S37" s="73" t="s">
        <v>92</v>
      </c>
      <c r="T37" s="73" t="s">
        <v>92</v>
      </c>
      <c r="U37" s="73" t="s">
        <v>92</v>
      </c>
      <c r="V37" s="73" t="s">
        <v>92</v>
      </c>
      <c r="W37" s="73" t="s">
        <v>92</v>
      </c>
      <c r="X37" s="74" t="s">
        <v>92</v>
      </c>
      <c r="Y37" s="72" t="s">
        <v>92</v>
      </c>
      <c r="Z37" s="72" t="s">
        <v>92</v>
      </c>
      <c r="AA37" s="72" t="s">
        <v>92</v>
      </c>
      <c r="AB37" s="72" t="s">
        <v>92</v>
      </c>
      <c r="AC37" s="72" t="s">
        <v>92</v>
      </c>
    </row>
    <row r="38" spans="2:29" ht="14.45">
      <c r="B38" t="s">
        <v>129</v>
      </c>
      <c r="C38" t="s">
        <v>22</v>
      </c>
      <c r="D38" t="s">
        <v>88</v>
      </c>
      <c r="E38" s="2" t="s">
        <v>115</v>
      </c>
      <c r="F38" s="1" t="s">
        <v>130</v>
      </c>
      <c r="G38" s="2" t="s">
        <v>26</v>
      </c>
      <c r="I38" t="s">
        <v>124</v>
      </c>
      <c r="J38" s="26">
        <v>46090</v>
      </c>
      <c r="K38" s="26">
        <v>46129</v>
      </c>
      <c r="L38" t="s">
        <v>29</v>
      </c>
      <c r="M38" s="71" t="s">
        <v>92</v>
      </c>
      <c r="N38" s="72" t="s">
        <v>92</v>
      </c>
      <c r="O38" s="72" t="s">
        <v>92</v>
      </c>
      <c r="P38" s="72" t="s">
        <v>92</v>
      </c>
      <c r="Q38" s="72" t="s">
        <v>92</v>
      </c>
      <c r="R38" s="73" t="s">
        <v>92</v>
      </c>
      <c r="S38" s="73" t="s">
        <v>92</v>
      </c>
      <c r="T38" s="73" t="s">
        <v>92</v>
      </c>
      <c r="U38" s="73" t="s">
        <v>92</v>
      </c>
      <c r="V38" s="73" t="s">
        <v>92</v>
      </c>
      <c r="W38" s="73" t="s">
        <v>92</v>
      </c>
      <c r="X38" s="74" t="s">
        <v>92</v>
      </c>
      <c r="Y38" s="72" t="s">
        <v>92</v>
      </c>
      <c r="Z38" s="72" t="s">
        <v>92</v>
      </c>
      <c r="AA38" s="72" t="s">
        <v>92</v>
      </c>
      <c r="AB38" s="72" t="s">
        <v>92</v>
      </c>
      <c r="AC38" s="72" t="s">
        <v>92</v>
      </c>
    </row>
    <row r="39" spans="2:29" ht="3.6" customHeight="1">
      <c r="B39" t="s">
        <v>131</v>
      </c>
      <c r="C39" t="s">
        <v>22</v>
      </c>
      <c r="D39" t="s">
        <v>88</v>
      </c>
      <c r="E39" s="2" t="s">
        <v>115</v>
      </c>
      <c r="F39" s="1" t="s">
        <v>132</v>
      </c>
      <c r="G39" s="2" t="s">
        <v>51</v>
      </c>
      <c r="I39" t="s">
        <v>124</v>
      </c>
      <c r="J39" s="95">
        <v>46132</v>
      </c>
      <c r="K39" s="96">
        <v>46143</v>
      </c>
      <c r="L39" t="s">
        <v>29</v>
      </c>
      <c r="M39" s="71" t="s">
        <v>92</v>
      </c>
      <c r="N39" s="72" t="s">
        <v>92</v>
      </c>
      <c r="O39" s="72" t="s">
        <v>92</v>
      </c>
      <c r="P39" s="72" t="s">
        <v>92</v>
      </c>
      <c r="Q39" s="72" t="s">
        <v>92</v>
      </c>
      <c r="R39" s="72" t="s">
        <v>92</v>
      </c>
      <c r="S39" s="77" t="s">
        <v>92</v>
      </c>
      <c r="T39" s="77" t="s">
        <v>92</v>
      </c>
      <c r="U39" s="77" t="s">
        <v>92</v>
      </c>
      <c r="V39" s="77" t="s">
        <v>92</v>
      </c>
      <c r="W39" s="72" t="s">
        <v>92</v>
      </c>
      <c r="X39" s="73" t="s">
        <v>92</v>
      </c>
      <c r="Y39" s="73" t="s">
        <v>92</v>
      </c>
      <c r="Z39" s="72" t="s">
        <v>92</v>
      </c>
      <c r="AA39" s="74" t="s">
        <v>92</v>
      </c>
      <c r="AB39" s="72" t="s">
        <v>92</v>
      </c>
      <c r="AC39" s="72" t="s">
        <v>92</v>
      </c>
    </row>
    <row r="40" spans="2:29" ht="14.45">
      <c r="B40" t="s">
        <v>133</v>
      </c>
      <c r="C40" t="s">
        <v>22</v>
      </c>
      <c r="D40" t="s">
        <v>88</v>
      </c>
      <c r="E40" s="2" t="s">
        <v>115</v>
      </c>
      <c r="F40" s="1" t="s">
        <v>134</v>
      </c>
      <c r="G40" s="2" t="s">
        <v>51</v>
      </c>
      <c r="I40" t="s">
        <v>124</v>
      </c>
      <c r="J40" s="125">
        <v>46168</v>
      </c>
      <c r="K40" s="126">
        <v>46178</v>
      </c>
      <c r="L40" t="s">
        <v>106</v>
      </c>
      <c r="M40" s="71" t="s">
        <v>92</v>
      </c>
      <c r="N40" s="72" t="s">
        <v>92</v>
      </c>
      <c r="O40" s="72" t="s">
        <v>92</v>
      </c>
      <c r="P40" s="72" t="s">
        <v>92</v>
      </c>
      <c r="Q40" s="72" t="s">
        <v>92</v>
      </c>
      <c r="R40" s="72" t="s">
        <v>92</v>
      </c>
      <c r="S40" s="77" t="s">
        <v>92</v>
      </c>
      <c r="T40" s="77" t="s">
        <v>92</v>
      </c>
      <c r="U40" s="77" t="s">
        <v>92</v>
      </c>
      <c r="V40" s="77" t="s">
        <v>92</v>
      </c>
      <c r="W40" s="72" t="s">
        <v>92</v>
      </c>
      <c r="X40" s="73" t="s">
        <v>92</v>
      </c>
      <c r="Y40" s="73" t="s">
        <v>92</v>
      </c>
      <c r="Z40" s="72" t="s">
        <v>92</v>
      </c>
      <c r="AA40" s="74" t="s">
        <v>92</v>
      </c>
      <c r="AB40" s="72" t="s">
        <v>92</v>
      </c>
      <c r="AC40" s="72" t="s">
        <v>92</v>
      </c>
    </row>
    <row r="41" spans="2:29" ht="14.45">
      <c r="B41" t="s">
        <v>135</v>
      </c>
      <c r="C41" t="s">
        <v>22</v>
      </c>
      <c r="D41" t="s">
        <v>88</v>
      </c>
      <c r="E41" s="2" t="s">
        <v>115</v>
      </c>
      <c r="F41" s="1" t="s">
        <v>136</v>
      </c>
      <c r="G41" s="2" t="s">
        <v>51</v>
      </c>
      <c r="I41" t="s">
        <v>124</v>
      </c>
      <c r="J41" s="26">
        <v>46168</v>
      </c>
      <c r="K41" s="26">
        <v>46192</v>
      </c>
      <c r="L41" t="s">
        <v>29</v>
      </c>
      <c r="M41" s="71" t="s">
        <v>92</v>
      </c>
      <c r="N41" s="72" t="s">
        <v>92</v>
      </c>
      <c r="O41" s="72" t="s">
        <v>92</v>
      </c>
      <c r="P41" s="72" t="s">
        <v>92</v>
      </c>
      <c r="Q41" s="72" t="s">
        <v>92</v>
      </c>
      <c r="R41" s="72" t="s">
        <v>92</v>
      </c>
      <c r="S41" s="77" t="s">
        <v>92</v>
      </c>
      <c r="T41" s="77" t="s">
        <v>92</v>
      </c>
      <c r="U41" s="77" t="s">
        <v>92</v>
      </c>
      <c r="V41" s="77" t="s">
        <v>92</v>
      </c>
      <c r="W41" s="72" t="s">
        <v>92</v>
      </c>
      <c r="X41" s="72" t="s">
        <v>92</v>
      </c>
      <c r="Y41" s="73" t="s">
        <v>92</v>
      </c>
      <c r="Z41" s="73" t="s">
        <v>92</v>
      </c>
      <c r="AA41" s="74" t="s">
        <v>92</v>
      </c>
      <c r="AB41" s="72" t="s">
        <v>92</v>
      </c>
      <c r="AC41" s="72" t="s">
        <v>92</v>
      </c>
    </row>
    <row r="42" spans="2:29" ht="14.45">
      <c r="B42" t="s">
        <v>137</v>
      </c>
      <c r="C42" t="s">
        <v>22</v>
      </c>
      <c r="D42" t="s">
        <v>88</v>
      </c>
      <c r="E42" s="2" t="s">
        <v>115</v>
      </c>
      <c r="F42" s="1" t="s">
        <v>138</v>
      </c>
      <c r="G42" s="2" t="s">
        <v>51</v>
      </c>
      <c r="I42" t="s">
        <v>124</v>
      </c>
      <c r="J42" s="26">
        <v>46168</v>
      </c>
      <c r="K42" s="26">
        <v>46192</v>
      </c>
      <c r="L42" t="s">
        <v>106</v>
      </c>
      <c r="M42" s="71"/>
      <c r="N42" s="79"/>
      <c r="O42" s="72"/>
      <c r="P42" s="72"/>
      <c r="Q42" s="72"/>
      <c r="R42" s="72"/>
      <c r="S42" s="77"/>
      <c r="T42" s="77"/>
      <c r="U42" s="77"/>
      <c r="V42" s="77"/>
      <c r="W42" s="72"/>
      <c r="X42" s="72"/>
      <c r="Y42" s="73"/>
      <c r="Z42" s="73"/>
      <c r="AA42" s="74"/>
      <c r="AB42" s="72"/>
      <c r="AC42" s="72"/>
    </row>
    <row r="43" spans="2:29" ht="14.45">
      <c r="B43" t="s">
        <v>139</v>
      </c>
      <c r="C43" t="s">
        <v>22</v>
      </c>
      <c r="D43" t="s">
        <v>88</v>
      </c>
      <c r="E43" s="2" t="s">
        <v>115</v>
      </c>
      <c r="F43" s="1" t="s">
        <v>110</v>
      </c>
      <c r="G43" s="2" t="s">
        <v>111</v>
      </c>
      <c r="I43" t="s">
        <v>124</v>
      </c>
      <c r="J43" s="95">
        <v>46192</v>
      </c>
      <c r="K43" s="96">
        <v>46206</v>
      </c>
      <c r="L43" t="s">
        <v>33</v>
      </c>
      <c r="M43" s="71" t="s">
        <v>92</v>
      </c>
      <c r="N43" s="79" t="s">
        <v>92</v>
      </c>
      <c r="O43" s="71" t="s">
        <v>92</v>
      </c>
      <c r="P43" s="72" t="s">
        <v>92</v>
      </c>
      <c r="Q43" s="72" t="s">
        <v>92</v>
      </c>
      <c r="R43" s="72" t="s">
        <v>92</v>
      </c>
      <c r="S43" s="77" t="s">
        <v>92</v>
      </c>
      <c r="T43" s="77" t="s">
        <v>92</v>
      </c>
      <c r="U43" s="77" t="s">
        <v>92</v>
      </c>
      <c r="V43" s="77" t="s">
        <v>92</v>
      </c>
      <c r="W43" s="72" t="s">
        <v>92</v>
      </c>
      <c r="X43" s="72" t="s">
        <v>92</v>
      </c>
      <c r="Y43" s="73" t="s">
        <v>92</v>
      </c>
      <c r="Z43" s="73" t="s">
        <v>92</v>
      </c>
      <c r="AA43" s="74" t="s">
        <v>92</v>
      </c>
      <c r="AB43" s="74" t="s">
        <v>92</v>
      </c>
      <c r="AC43" s="72" t="s">
        <v>92</v>
      </c>
    </row>
    <row r="44" spans="2:29" ht="14.45">
      <c r="B44" t="s">
        <v>140</v>
      </c>
      <c r="C44" t="s">
        <v>22</v>
      </c>
      <c r="D44" t="s">
        <v>88</v>
      </c>
      <c r="E44" s="2" t="s">
        <v>115</v>
      </c>
      <c r="F44" s="124" t="s">
        <v>113</v>
      </c>
      <c r="G44" s="2" t="s">
        <v>113</v>
      </c>
      <c r="I44" t="s">
        <v>124</v>
      </c>
      <c r="J44" s="26">
        <v>46192</v>
      </c>
      <c r="K44" s="26">
        <v>46206</v>
      </c>
      <c r="L44" t="s">
        <v>33</v>
      </c>
      <c r="M44" s="71" t="s">
        <v>92</v>
      </c>
      <c r="N44" s="79" t="s">
        <v>92</v>
      </c>
      <c r="O44" s="71" t="s">
        <v>92</v>
      </c>
      <c r="P44" s="72" t="s">
        <v>92</v>
      </c>
      <c r="Q44" s="72" t="s">
        <v>92</v>
      </c>
      <c r="R44" s="72" t="s">
        <v>92</v>
      </c>
      <c r="S44" s="77" t="s">
        <v>92</v>
      </c>
      <c r="T44" s="77" t="s">
        <v>92</v>
      </c>
      <c r="U44" s="77" t="s">
        <v>92</v>
      </c>
      <c r="V44" s="77" t="s">
        <v>92</v>
      </c>
      <c r="W44" s="74" t="s">
        <v>92</v>
      </c>
      <c r="X44" s="72" t="s">
        <v>92</v>
      </c>
      <c r="Y44" s="72" t="s">
        <v>92</v>
      </c>
      <c r="Z44" s="73" t="s">
        <v>92</v>
      </c>
      <c r="AA44" s="73" t="s">
        <v>92</v>
      </c>
      <c r="AB44" s="74" t="s">
        <v>92</v>
      </c>
      <c r="AC44" s="72" t="s">
        <v>92</v>
      </c>
    </row>
    <row r="45" spans="2:29" ht="14.45">
      <c r="B45" t="s">
        <v>141</v>
      </c>
      <c r="C45" t="s">
        <v>22</v>
      </c>
      <c r="D45" t="s">
        <v>88</v>
      </c>
      <c r="E45" s="2" t="s">
        <v>142</v>
      </c>
      <c r="F45" s="1" t="s">
        <v>143</v>
      </c>
      <c r="G45" s="2" t="s">
        <v>144</v>
      </c>
      <c r="I45" t="s">
        <v>91</v>
      </c>
      <c r="J45" s="95">
        <v>46055</v>
      </c>
      <c r="K45" s="96">
        <v>46059</v>
      </c>
      <c r="L45" t="s">
        <v>29</v>
      </c>
      <c r="M45" s="80" t="s">
        <v>92</v>
      </c>
      <c r="N45" s="81" t="s">
        <v>92</v>
      </c>
      <c r="O45" s="71" t="s">
        <v>92</v>
      </c>
      <c r="P45" s="72" t="s">
        <v>92</v>
      </c>
      <c r="Q45" s="72" t="s">
        <v>92</v>
      </c>
      <c r="R45" s="72" t="s">
        <v>92</v>
      </c>
      <c r="S45" s="72" t="s">
        <v>92</v>
      </c>
      <c r="T45" s="72" t="s">
        <v>92</v>
      </c>
      <c r="U45" s="72" t="s">
        <v>92</v>
      </c>
      <c r="V45" s="72" t="s">
        <v>92</v>
      </c>
      <c r="W45" s="72" t="s">
        <v>92</v>
      </c>
      <c r="X45" s="74" t="s">
        <v>92</v>
      </c>
      <c r="Y45" s="74" t="s">
        <v>92</v>
      </c>
      <c r="Z45" s="74" t="s">
        <v>92</v>
      </c>
      <c r="AA45" s="74" t="s">
        <v>92</v>
      </c>
      <c r="AB45" s="74" t="s">
        <v>92</v>
      </c>
      <c r="AC45" s="72" t="s">
        <v>92</v>
      </c>
    </row>
    <row r="46" spans="2:29" ht="14.45">
      <c r="B46" t="s">
        <v>145</v>
      </c>
      <c r="C46" t="s">
        <v>22</v>
      </c>
      <c r="D46" t="s">
        <v>88</v>
      </c>
      <c r="E46" s="2" t="s">
        <v>142</v>
      </c>
      <c r="F46" s="1" t="s">
        <v>146</v>
      </c>
      <c r="G46" s="2" t="s">
        <v>47</v>
      </c>
      <c r="I46" t="s">
        <v>91</v>
      </c>
      <c r="J46" s="26">
        <v>46062</v>
      </c>
      <c r="K46" s="26">
        <v>46073</v>
      </c>
      <c r="L46" t="s">
        <v>29</v>
      </c>
      <c r="M46" s="82" t="s">
        <v>92</v>
      </c>
      <c r="N46" s="83" t="s">
        <v>92</v>
      </c>
      <c r="O46" s="78" t="s">
        <v>92</v>
      </c>
      <c r="P46" s="72" t="s">
        <v>92</v>
      </c>
      <c r="Q46" s="72" t="s">
        <v>92</v>
      </c>
      <c r="R46" s="72" t="s">
        <v>92</v>
      </c>
      <c r="S46" s="72" t="s">
        <v>92</v>
      </c>
      <c r="T46" s="72" t="s">
        <v>92</v>
      </c>
      <c r="U46" s="72" t="s">
        <v>92</v>
      </c>
      <c r="V46" s="72" t="s">
        <v>92</v>
      </c>
      <c r="W46" s="72" t="s">
        <v>92</v>
      </c>
      <c r="X46" s="74" t="s">
        <v>92</v>
      </c>
      <c r="Y46" s="74" t="s">
        <v>92</v>
      </c>
      <c r="Z46" s="74" t="s">
        <v>92</v>
      </c>
      <c r="AA46" s="72" t="s">
        <v>92</v>
      </c>
      <c r="AB46" s="74" t="s">
        <v>92</v>
      </c>
      <c r="AC46" s="72" t="s">
        <v>92</v>
      </c>
    </row>
    <row r="47" spans="2:29" ht="14.45">
      <c r="B47" t="s">
        <v>147</v>
      </c>
      <c r="C47" t="s">
        <v>22</v>
      </c>
      <c r="D47" t="s">
        <v>88</v>
      </c>
      <c r="E47" s="2" t="s">
        <v>142</v>
      </c>
      <c r="F47" s="1" t="s">
        <v>148</v>
      </c>
      <c r="G47" s="2" t="s">
        <v>26</v>
      </c>
      <c r="I47" t="s">
        <v>91</v>
      </c>
      <c r="J47" s="95">
        <v>46069</v>
      </c>
      <c r="K47" s="96">
        <v>46073</v>
      </c>
      <c r="L47" t="s">
        <v>29</v>
      </c>
      <c r="M47" s="84" t="s">
        <v>92</v>
      </c>
      <c r="N47" s="85" t="s">
        <v>92</v>
      </c>
      <c r="O47" s="78" t="s">
        <v>92</v>
      </c>
      <c r="P47" s="72" t="s">
        <v>92</v>
      </c>
      <c r="Q47" s="72" t="s">
        <v>92</v>
      </c>
      <c r="R47" s="72" t="s">
        <v>92</v>
      </c>
      <c r="S47" s="72" t="s">
        <v>92</v>
      </c>
      <c r="T47" s="72" t="s">
        <v>92</v>
      </c>
      <c r="U47" s="72" t="s">
        <v>92</v>
      </c>
      <c r="V47" s="72" t="s">
        <v>92</v>
      </c>
      <c r="W47" s="72" t="s">
        <v>92</v>
      </c>
      <c r="X47" s="74" t="s">
        <v>92</v>
      </c>
      <c r="Y47" s="86" t="s">
        <v>92</v>
      </c>
      <c r="Z47" s="74" t="s">
        <v>92</v>
      </c>
      <c r="AA47" s="72" t="s">
        <v>92</v>
      </c>
      <c r="AB47" s="74" t="s">
        <v>92</v>
      </c>
      <c r="AC47" s="72" t="s">
        <v>92</v>
      </c>
    </row>
    <row r="48" spans="2:29" ht="14.45">
      <c r="B48" t="s">
        <v>149</v>
      </c>
      <c r="C48" t="s">
        <v>22</v>
      </c>
      <c r="D48" t="s">
        <v>88</v>
      </c>
      <c r="E48" s="2" t="s">
        <v>142</v>
      </c>
      <c r="F48" s="1" t="s">
        <v>150</v>
      </c>
      <c r="G48" s="2" t="s">
        <v>26</v>
      </c>
      <c r="I48" t="s">
        <v>151</v>
      </c>
      <c r="J48" s="26">
        <v>46076</v>
      </c>
      <c r="K48" s="26">
        <v>46080</v>
      </c>
      <c r="L48" t="s">
        <v>29</v>
      </c>
      <c r="M48" s="87" t="s">
        <v>92</v>
      </c>
      <c r="N48" s="88" t="s">
        <v>92</v>
      </c>
      <c r="O48" s="71" t="s">
        <v>92</v>
      </c>
      <c r="P48" s="73" t="s">
        <v>92</v>
      </c>
      <c r="Q48" s="72" t="s">
        <v>92</v>
      </c>
      <c r="R48" s="72" t="s">
        <v>92</v>
      </c>
      <c r="S48" s="72" t="s">
        <v>92</v>
      </c>
      <c r="T48" s="72" t="s">
        <v>92</v>
      </c>
      <c r="U48" s="72" t="s">
        <v>92</v>
      </c>
      <c r="V48" s="72" t="s">
        <v>92</v>
      </c>
      <c r="W48" s="72" t="s">
        <v>92</v>
      </c>
      <c r="X48" s="74" t="s">
        <v>92</v>
      </c>
      <c r="Y48" s="89" t="s">
        <v>92</v>
      </c>
      <c r="Z48" s="74" t="s">
        <v>92</v>
      </c>
      <c r="AA48" s="72" t="s">
        <v>92</v>
      </c>
      <c r="AB48" s="74" t="s">
        <v>92</v>
      </c>
      <c r="AC48" s="72" t="s">
        <v>92</v>
      </c>
    </row>
    <row r="49" spans="2:29" ht="14.45">
      <c r="B49" t="s">
        <v>152</v>
      </c>
      <c r="C49" t="s">
        <v>22</v>
      </c>
      <c r="D49" t="s">
        <v>88</v>
      </c>
      <c r="E49" s="2" t="s">
        <v>142</v>
      </c>
      <c r="F49" s="1" t="s">
        <v>153</v>
      </c>
      <c r="G49" s="2" t="s">
        <v>121</v>
      </c>
      <c r="I49" t="s">
        <v>151</v>
      </c>
      <c r="J49" s="95">
        <v>46083</v>
      </c>
      <c r="K49" s="96">
        <v>46087</v>
      </c>
      <c r="L49" t="s">
        <v>29</v>
      </c>
      <c r="M49" s="87" t="s">
        <v>92</v>
      </c>
      <c r="N49" s="90" t="s">
        <v>92</v>
      </c>
      <c r="O49" s="71" t="s">
        <v>92</v>
      </c>
      <c r="P49" s="72" t="s">
        <v>92</v>
      </c>
      <c r="Q49" s="73" t="s">
        <v>92</v>
      </c>
      <c r="R49" s="72" t="s">
        <v>92</v>
      </c>
      <c r="S49" s="72" t="s">
        <v>92</v>
      </c>
      <c r="T49" s="72" t="s">
        <v>92</v>
      </c>
      <c r="U49" s="72" t="s">
        <v>92</v>
      </c>
      <c r="V49" s="72" t="s">
        <v>92</v>
      </c>
      <c r="W49" s="72" t="s">
        <v>92</v>
      </c>
      <c r="X49" s="74" t="s">
        <v>92</v>
      </c>
      <c r="Y49" s="74" t="s">
        <v>92</v>
      </c>
      <c r="Z49" s="74" t="s">
        <v>92</v>
      </c>
      <c r="AA49" s="72" t="s">
        <v>92</v>
      </c>
      <c r="AB49" s="74" t="s">
        <v>92</v>
      </c>
      <c r="AC49" s="72" t="s">
        <v>92</v>
      </c>
    </row>
    <row r="50" spans="2:29" ht="14.45">
      <c r="B50" t="s">
        <v>154</v>
      </c>
      <c r="C50" t="s">
        <v>22</v>
      </c>
      <c r="D50" t="s">
        <v>88</v>
      </c>
      <c r="E50" s="2" t="s">
        <v>142</v>
      </c>
      <c r="F50" s="1" t="s">
        <v>155</v>
      </c>
      <c r="G50" s="2" t="s">
        <v>51</v>
      </c>
      <c r="I50" t="s">
        <v>91</v>
      </c>
      <c r="J50" s="26">
        <v>46083</v>
      </c>
      <c r="K50" s="26">
        <v>46203</v>
      </c>
      <c r="L50" t="s">
        <v>106</v>
      </c>
      <c r="M50" s="87" t="s">
        <v>92</v>
      </c>
      <c r="N50" s="90" t="s">
        <v>92</v>
      </c>
      <c r="O50" s="71" t="s">
        <v>92</v>
      </c>
      <c r="P50" s="72" t="s">
        <v>92</v>
      </c>
      <c r="Q50" s="73" t="s">
        <v>92</v>
      </c>
      <c r="R50" s="72" t="s">
        <v>92</v>
      </c>
      <c r="S50" s="72" t="s">
        <v>92</v>
      </c>
      <c r="T50" s="72" t="s">
        <v>92</v>
      </c>
      <c r="U50" s="72" t="s">
        <v>92</v>
      </c>
      <c r="V50" s="72" t="s">
        <v>92</v>
      </c>
      <c r="W50" s="72" t="s">
        <v>92</v>
      </c>
      <c r="X50" s="74" t="s">
        <v>92</v>
      </c>
      <c r="Y50" s="74" t="s">
        <v>92</v>
      </c>
      <c r="Z50" s="74" t="s">
        <v>92</v>
      </c>
      <c r="AA50" s="72" t="s">
        <v>92</v>
      </c>
      <c r="AB50" s="74" t="s">
        <v>92</v>
      </c>
      <c r="AC50" s="72" t="s">
        <v>92</v>
      </c>
    </row>
    <row r="51" spans="2:29" ht="14.45">
      <c r="B51" t="s">
        <v>156</v>
      </c>
      <c r="C51" t="s">
        <v>22</v>
      </c>
      <c r="D51" t="s">
        <v>88</v>
      </c>
      <c r="E51" s="2" t="s">
        <v>142</v>
      </c>
      <c r="F51" s="1" t="s">
        <v>157</v>
      </c>
      <c r="G51" s="2" t="s">
        <v>51</v>
      </c>
      <c r="I51" t="s">
        <v>91</v>
      </c>
      <c r="J51" s="95">
        <v>46090</v>
      </c>
      <c r="K51" s="96">
        <v>46136</v>
      </c>
      <c r="L51" t="s">
        <v>106</v>
      </c>
      <c r="M51" s="87" t="s">
        <v>92</v>
      </c>
      <c r="N51" s="90" t="s">
        <v>92</v>
      </c>
      <c r="O51" s="71" t="s">
        <v>92</v>
      </c>
      <c r="P51" s="72" t="s">
        <v>92</v>
      </c>
      <c r="Q51" s="72" t="s">
        <v>92</v>
      </c>
      <c r="R51" s="73" t="s">
        <v>92</v>
      </c>
      <c r="S51" s="73" t="s">
        <v>92</v>
      </c>
      <c r="T51" s="73" t="s">
        <v>92</v>
      </c>
      <c r="U51" s="73" t="s">
        <v>92</v>
      </c>
      <c r="V51" s="73" t="s">
        <v>92</v>
      </c>
      <c r="W51" s="73" t="s">
        <v>92</v>
      </c>
      <c r="X51" s="73" t="s">
        <v>92</v>
      </c>
      <c r="Y51" s="72" t="s">
        <v>92</v>
      </c>
      <c r="Z51" s="72" t="s">
        <v>92</v>
      </c>
      <c r="AA51" s="72" t="s">
        <v>92</v>
      </c>
      <c r="AB51" s="74" t="s">
        <v>92</v>
      </c>
      <c r="AC51" s="72" t="s">
        <v>92</v>
      </c>
    </row>
    <row r="52" spans="2:29" ht="14.45">
      <c r="B52" t="s">
        <v>158</v>
      </c>
      <c r="C52" t="s">
        <v>22</v>
      </c>
      <c r="D52" t="s">
        <v>88</v>
      </c>
      <c r="E52" s="2" t="s">
        <v>142</v>
      </c>
      <c r="F52" s="1" t="s">
        <v>110</v>
      </c>
      <c r="G52" s="2" t="s">
        <v>111</v>
      </c>
      <c r="I52" t="s">
        <v>91</v>
      </c>
      <c r="J52" s="95">
        <v>46139</v>
      </c>
      <c r="K52" s="96">
        <v>46150</v>
      </c>
      <c r="L52" t="s">
        <v>33</v>
      </c>
      <c r="M52" s="87" t="s">
        <v>92</v>
      </c>
      <c r="N52" s="90" t="s">
        <v>92</v>
      </c>
      <c r="O52" s="71" t="s">
        <v>92</v>
      </c>
      <c r="P52" s="72" t="s">
        <v>92</v>
      </c>
      <c r="Q52" s="72" t="s">
        <v>92</v>
      </c>
      <c r="R52" s="77" t="s">
        <v>92</v>
      </c>
      <c r="S52" s="77" t="s">
        <v>92</v>
      </c>
      <c r="T52" s="77" t="s">
        <v>92</v>
      </c>
      <c r="U52" s="77" t="s">
        <v>92</v>
      </c>
      <c r="V52" s="77" t="s">
        <v>92</v>
      </c>
      <c r="W52" s="72" t="s">
        <v>92</v>
      </c>
      <c r="X52" s="72" t="s">
        <v>92</v>
      </c>
      <c r="Y52" s="73" t="s">
        <v>92</v>
      </c>
      <c r="Z52" s="73" t="s">
        <v>92</v>
      </c>
      <c r="AA52" s="72" t="s">
        <v>92</v>
      </c>
      <c r="AB52" s="74" t="s">
        <v>92</v>
      </c>
      <c r="AC52" s="72" t="s">
        <v>92</v>
      </c>
    </row>
    <row r="53" spans="2:29" ht="14.45">
      <c r="B53" t="s">
        <v>159</v>
      </c>
      <c r="C53" t="s">
        <v>22</v>
      </c>
      <c r="D53" t="s">
        <v>88</v>
      </c>
      <c r="E53" s="2" t="s">
        <v>142</v>
      </c>
      <c r="F53" s="1" t="s">
        <v>113</v>
      </c>
      <c r="G53" s="2" t="s">
        <v>113</v>
      </c>
      <c r="I53" t="s">
        <v>91</v>
      </c>
      <c r="J53" s="26">
        <v>46153</v>
      </c>
      <c r="K53" s="26">
        <v>46157</v>
      </c>
      <c r="L53" t="s">
        <v>33</v>
      </c>
      <c r="M53" s="87" t="s">
        <v>92</v>
      </c>
      <c r="N53" s="90" t="s">
        <v>92</v>
      </c>
      <c r="O53" s="71" t="s">
        <v>92</v>
      </c>
      <c r="P53" s="72" t="s">
        <v>92</v>
      </c>
      <c r="Q53" s="72" t="s">
        <v>92</v>
      </c>
      <c r="R53" s="77" t="s">
        <v>92</v>
      </c>
      <c r="S53" s="77" t="s">
        <v>92</v>
      </c>
      <c r="T53" s="77" t="s">
        <v>92</v>
      </c>
      <c r="U53" s="77" t="s">
        <v>92</v>
      </c>
      <c r="V53" s="77" t="s">
        <v>92</v>
      </c>
      <c r="W53" s="72" t="s">
        <v>92</v>
      </c>
      <c r="X53" s="72" t="s">
        <v>92</v>
      </c>
      <c r="Y53" s="72" t="s">
        <v>92</v>
      </c>
      <c r="Z53" s="72" t="s">
        <v>92</v>
      </c>
      <c r="AA53" s="73" t="s">
        <v>92</v>
      </c>
      <c r="AB53" s="74" t="s">
        <v>92</v>
      </c>
      <c r="AC53" s="72" t="s">
        <v>92</v>
      </c>
    </row>
    <row r="54" spans="2:29" ht="14.45">
      <c r="B54" t="s">
        <v>160</v>
      </c>
      <c r="C54" t="s">
        <v>22</v>
      </c>
      <c r="D54" t="s">
        <v>88</v>
      </c>
      <c r="E54" s="2" t="s">
        <v>142</v>
      </c>
      <c r="F54" s="1" t="s">
        <v>161</v>
      </c>
      <c r="G54" s="2" t="s">
        <v>26</v>
      </c>
      <c r="I54" t="s">
        <v>162</v>
      </c>
      <c r="J54" s="95">
        <v>46055</v>
      </c>
      <c r="K54" s="96">
        <v>46094</v>
      </c>
      <c r="L54" t="s">
        <v>29</v>
      </c>
      <c r="M54" s="91" t="s">
        <v>92</v>
      </c>
      <c r="N54" s="92" t="s">
        <v>92</v>
      </c>
      <c r="O54" s="78" t="s">
        <v>92</v>
      </c>
      <c r="P54" s="73" t="s">
        <v>92</v>
      </c>
      <c r="Q54" s="73" t="s">
        <v>92</v>
      </c>
      <c r="R54" s="73" t="s">
        <v>92</v>
      </c>
      <c r="S54" s="72" t="s">
        <v>92</v>
      </c>
      <c r="T54" s="72" t="s">
        <v>92</v>
      </c>
      <c r="U54" s="72" t="s">
        <v>92</v>
      </c>
      <c r="V54" s="74" t="s">
        <v>92</v>
      </c>
      <c r="W54" s="74" t="s">
        <v>92</v>
      </c>
      <c r="X54" s="74" t="s">
        <v>92</v>
      </c>
      <c r="Y54" s="72" t="s">
        <v>92</v>
      </c>
      <c r="Z54" s="72" t="s">
        <v>92</v>
      </c>
      <c r="AA54" s="72" t="s">
        <v>92</v>
      </c>
      <c r="AB54" s="74" t="s">
        <v>92</v>
      </c>
      <c r="AC54" s="72" t="s">
        <v>92</v>
      </c>
    </row>
    <row r="55" spans="2:29" ht="14.45">
      <c r="B55" t="s">
        <v>163</v>
      </c>
      <c r="C55" t="s">
        <v>22</v>
      </c>
      <c r="D55" t="s">
        <v>88</v>
      </c>
      <c r="E55" s="2" t="s">
        <v>142</v>
      </c>
      <c r="F55" s="1" t="s">
        <v>164</v>
      </c>
      <c r="G55" s="2" t="s">
        <v>26</v>
      </c>
      <c r="I55" t="s">
        <v>162</v>
      </c>
      <c r="J55" s="26">
        <v>46097</v>
      </c>
      <c r="K55" s="26">
        <v>46101</v>
      </c>
      <c r="L55" t="s">
        <v>29</v>
      </c>
      <c r="M55" s="93" t="s">
        <v>92</v>
      </c>
      <c r="N55" s="94" t="s">
        <v>92</v>
      </c>
      <c r="O55" s="75" t="s">
        <v>92</v>
      </c>
      <c r="P55" s="74" t="s">
        <v>92</v>
      </c>
      <c r="Q55" s="74" t="s">
        <v>92</v>
      </c>
      <c r="R55" s="74" t="s">
        <v>92</v>
      </c>
      <c r="S55" s="73" t="s">
        <v>92</v>
      </c>
      <c r="T55" s="74" t="s">
        <v>92</v>
      </c>
      <c r="U55" s="74" t="s">
        <v>92</v>
      </c>
      <c r="V55" s="74" t="s">
        <v>92</v>
      </c>
      <c r="W55" s="74" t="s">
        <v>92</v>
      </c>
      <c r="X55" s="74" t="s">
        <v>92</v>
      </c>
      <c r="Y55" s="72" t="s">
        <v>92</v>
      </c>
      <c r="Z55" s="72" t="s">
        <v>92</v>
      </c>
      <c r="AA55" s="72" t="s">
        <v>92</v>
      </c>
      <c r="AB55" s="74" t="s">
        <v>92</v>
      </c>
      <c r="AC55" s="72" t="s">
        <v>92</v>
      </c>
    </row>
    <row r="56" spans="2:29" ht="14.45">
      <c r="B56" t="s">
        <v>165</v>
      </c>
      <c r="C56" t="s">
        <v>22</v>
      </c>
      <c r="D56" t="s">
        <v>88</v>
      </c>
      <c r="E56" s="2" t="s">
        <v>142</v>
      </c>
      <c r="F56" s="1" t="s">
        <v>166</v>
      </c>
      <c r="G56" s="2" t="s">
        <v>26</v>
      </c>
      <c r="I56" t="s">
        <v>162</v>
      </c>
      <c r="J56" s="95">
        <v>46104</v>
      </c>
      <c r="K56" s="96">
        <v>46108</v>
      </c>
      <c r="L56" t="s">
        <v>29</v>
      </c>
      <c r="M56" s="94" t="s">
        <v>92</v>
      </c>
      <c r="N56" s="94" t="s">
        <v>92</v>
      </c>
      <c r="O56" s="75" t="s">
        <v>92</v>
      </c>
      <c r="P56" s="74" t="s">
        <v>92</v>
      </c>
      <c r="Q56" s="74" t="s">
        <v>92</v>
      </c>
      <c r="R56" s="74" t="s">
        <v>92</v>
      </c>
      <c r="S56" s="74" t="s">
        <v>92</v>
      </c>
      <c r="T56" s="73" t="s">
        <v>92</v>
      </c>
      <c r="U56" s="74" t="s">
        <v>92</v>
      </c>
      <c r="V56" s="74" t="s">
        <v>92</v>
      </c>
      <c r="W56" s="74" t="s">
        <v>92</v>
      </c>
      <c r="X56" s="74" t="s">
        <v>92</v>
      </c>
      <c r="Y56" s="72" t="s">
        <v>92</v>
      </c>
      <c r="Z56" s="72" t="s">
        <v>92</v>
      </c>
      <c r="AA56" s="72" t="s">
        <v>92</v>
      </c>
      <c r="AB56" s="74" t="s">
        <v>92</v>
      </c>
      <c r="AC56" s="72" t="s">
        <v>92</v>
      </c>
    </row>
    <row r="57" spans="2:29" ht="14.45">
      <c r="B57" t="s">
        <v>167</v>
      </c>
      <c r="C57" t="s">
        <v>22</v>
      </c>
      <c r="D57" t="s">
        <v>88</v>
      </c>
      <c r="E57" s="2" t="s">
        <v>142</v>
      </c>
      <c r="F57" s="1" t="s">
        <v>168</v>
      </c>
      <c r="G57" s="2" t="s">
        <v>26</v>
      </c>
      <c r="I57" t="s">
        <v>162</v>
      </c>
      <c r="J57" s="26">
        <v>46111</v>
      </c>
      <c r="K57" s="26">
        <v>46115</v>
      </c>
      <c r="L57" t="s">
        <v>29</v>
      </c>
      <c r="M57" s="94" t="s">
        <v>92</v>
      </c>
      <c r="N57" s="94" t="s">
        <v>92</v>
      </c>
      <c r="O57" s="75" t="s">
        <v>92</v>
      </c>
      <c r="P57" s="74" t="s">
        <v>92</v>
      </c>
      <c r="Q57" s="74" t="s">
        <v>92</v>
      </c>
      <c r="R57" s="74" t="s">
        <v>92</v>
      </c>
      <c r="S57" s="74" t="s">
        <v>92</v>
      </c>
      <c r="T57" s="77" t="s">
        <v>92</v>
      </c>
      <c r="U57" s="73" t="s">
        <v>92</v>
      </c>
      <c r="V57" s="77" t="s">
        <v>92</v>
      </c>
      <c r="W57" s="77" t="s">
        <v>92</v>
      </c>
      <c r="X57" s="74" t="s">
        <v>92</v>
      </c>
      <c r="Y57" s="72" t="s">
        <v>92</v>
      </c>
      <c r="Z57" s="72" t="s">
        <v>92</v>
      </c>
      <c r="AA57" s="72" t="s">
        <v>92</v>
      </c>
      <c r="AB57" s="74" t="s">
        <v>92</v>
      </c>
      <c r="AC57" s="72" t="s">
        <v>92</v>
      </c>
    </row>
    <row r="58" spans="2:29" ht="14.45">
      <c r="B58" t="s">
        <v>169</v>
      </c>
      <c r="C58" t="s">
        <v>22</v>
      </c>
      <c r="D58" t="s">
        <v>88</v>
      </c>
      <c r="E58" s="2" t="s">
        <v>142</v>
      </c>
      <c r="F58" s="1" t="s">
        <v>170</v>
      </c>
      <c r="G58" s="2" t="s">
        <v>26</v>
      </c>
      <c r="I58" t="s">
        <v>162</v>
      </c>
      <c r="J58" s="95">
        <v>46118</v>
      </c>
      <c r="K58" s="96">
        <v>46122</v>
      </c>
      <c r="L58" t="s">
        <v>29</v>
      </c>
      <c r="M58" s="94" t="s">
        <v>92</v>
      </c>
      <c r="N58" s="94" t="s">
        <v>92</v>
      </c>
      <c r="O58" s="75" t="s">
        <v>92</v>
      </c>
      <c r="P58" s="74" t="s">
        <v>92</v>
      </c>
      <c r="Q58" s="74" t="s">
        <v>92</v>
      </c>
      <c r="R58" s="74" t="s">
        <v>92</v>
      </c>
      <c r="S58" s="74" t="s">
        <v>92</v>
      </c>
      <c r="T58" s="77" t="s">
        <v>92</v>
      </c>
      <c r="U58" s="77" t="s">
        <v>92</v>
      </c>
      <c r="V58" s="73" t="s">
        <v>92</v>
      </c>
      <c r="W58" s="77" t="s">
        <v>92</v>
      </c>
      <c r="X58" s="74" t="s">
        <v>92</v>
      </c>
      <c r="Y58" s="72" t="s">
        <v>92</v>
      </c>
      <c r="Z58" s="72" t="s">
        <v>92</v>
      </c>
      <c r="AA58" s="72" t="s">
        <v>92</v>
      </c>
      <c r="AB58" s="74" t="s">
        <v>92</v>
      </c>
      <c r="AC58" s="72" t="s">
        <v>92</v>
      </c>
    </row>
    <row r="59" spans="2:29" ht="14.45">
      <c r="B59" t="s">
        <v>171</v>
      </c>
      <c r="C59" t="s">
        <v>22</v>
      </c>
      <c r="D59" t="s">
        <v>88</v>
      </c>
      <c r="E59" s="2" t="s">
        <v>142</v>
      </c>
      <c r="F59" s="1" t="s">
        <v>172</v>
      </c>
      <c r="G59" s="2" t="s">
        <v>26</v>
      </c>
      <c r="I59" t="s">
        <v>162</v>
      </c>
      <c r="J59" s="26">
        <v>46125</v>
      </c>
      <c r="K59" s="26">
        <v>46192</v>
      </c>
      <c r="L59" t="s">
        <v>106</v>
      </c>
      <c r="M59" s="94" t="s">
        <v>92</v>
      </c>
      <c r="N59" s="94" t="s">
        <v>92</v>
      </c>
      <c r="O59" s="75" t="s">
        <v>92</v>
      </c>
      <c r="P59" s="74" t="s">
        <v>92</v>
      </c>
      <c r="Q59" s="74" t="s">
        <v>92</v>
      </c>
      <c r="R59" s="74" t="s">
        <v>92</v>
      </c>
      <c r="S59" s="74" t="s">
        <v>92</v>
      </c>
      <c r="T59" s="77" t="s">
        <v>92</v>
      </c>
      <c r="U59" s="77" t="s">
        <v>92</v>
      </c>
      <c r="V59" s="77" t="s">
        <v>92</v>
      </c>
      <c r="W59" s="73" t="s">
        <v>92</v>
      </c>
      <c r="X59" s="74" t="s">
        <v>92</v>
      </c>
      <c r="Y59" s="72" t="s">
        <v>92</v>
      </c>
      <c r="Z59" s="72" t="s">
        <v>92</v>
      </c>
      <c r="AA59" s="72" t="s">
        <v>92</v>
      </c>
      <c r="AB59" s="74" t="s">
        <v>92</v>
      </c>
      <c r="AC59" s="72" t="s">
        <v>92</v>
      </c>
    </row>
    <row r="60" spans="2:29" ht="14.45">
      <c r="B60" t="s">
        <v>173</v>
      </c>
      <c r="C60" t="s">
        <v>22</v>
      </c>
      <c r="D60" t="s">
        <v>88</v>
      </c>
      <c r="E60" s="2" t="s">
        <v>142</v>
      </c>
      <c r="F60" s="1" t="s">
        <v>174</v>
      </c>
      <c r="G60" s="2" t="s">
        <v>26</v>
      </c>
      <c r="I60" t="s">
        <v>162</v>
      </c>
      <c r="J60" s="95">
        <v>46125</v>
      </c>
      <c r="K60" s="96">
        <v>46192</v>
      </c>
      <c r="L60" t="s">
        <v>106</v>
      </c>
      <c r="M60" s="94" t="s">
        <v>92</v>
      </c>
      <c r="N60" s="75" t="s">
        <v>92</v>
      </c>
      <c r="O60" s="74" t="s">
        <v>92</v>
      </c>
      <c r="P60" s="74" t="s">
        <v>92</v>
      </c>
      <c r="Q60" s="74" t="s">
        <v>92</v>
      </c>
      <c r="R60" s="74" t="s">
        <v>92</v>
      </c>
      <c r="S60" s="74" t="s">
        <v>92</v>
      </c>
      <c r="T60" s="77" t="s">
        <v>92</v>
      </c>
      <c r="U60" s="77" t="s">
        <v>92</v>
      </c>
      <c r="V60" s="77" t="s">
        <v>92</v>
      </c>
      <c r="W60" s="73" t="s">
        <v>92</v>
      </c>
      <c r="X60" s="74" t="s">
        <v>92</v>
      </c>
      <c r="Y60" s="72" t="s">
        <v>92</v>
      </c>
      <c r="Z60" s="72" t="s">
        <v>92</v>
      </c>
      <c r="AA60" s="72" t="s">
        <v>92</v>
      </c>
      <c r="AB60" s="74" t="s">
        <v>92</v>
      </c>
      <c r="AC60" s="72" t="s">
        <v>92</v>
      </c>
    </row>
    <row r="61" spans="2:29" ht="14.45">
      <c r="B61" t="s">
        <v>175</v>
      </c>
      <c r="C61" t="s">
        <v>22</v>
      </c>
      <c r="D61" t="s">
        <v>88</v>
      </c>
      <c r="E61" s="2" t="s">
        <v>176</v>
      </c>
      <c r="F61" s="1" t="s">
        <v>177</v>
      </c>
      <c r="G61" s="2" t="s">
        <v>121</v>
      </c>
      <c r="I61" t="s">
        <v>151</v>
      </c>
      <c r="J61" s="26">
        <v>46055</v>
      </c>
      <c r="K61" s="26">
        <v>46066</v>
      </c>
      <c r="L61" t="s">
        <v>29</v>
      </c>
      <c r="M61" s="92" t="s">
        <v>92</v>
      </c>
      <c r="N61" s="78" t="s">
        <v>92</v>
      </c>
      <c r="O61" s="72" t="s">
        <v>92</v>
      </c>
      <c r="P61" s="72" t="s">
        <v>92</v>
      </c>
      <c r="Q61" s="72" t="s">
        <v>92</v>
      </c>
      <c r="R61" s="72" t="s">
        <v>92</v>
      </c>
      <c r="S61" s="72" t="s">
        <v>92</v>
      </c>
      <c r="T61" s="72" t="s">
        <v>92</v>
      </c>
      <c r="U61" s="72" t="s">
        <v>92</v>
      </c>
      <c r="V61" s="72" t="s">
        <v>92</v>
      </c>
      <c r="W61" s="77" t="s">
        <v>92</v>
      </c>
      <c r="X61" s="74" t="s">
        <v>92</v>
      </c>
      <c r="Y61" s="72" t="s">
        <v>92</v>
      </c>
      <c r="Z61" s="72" t="s">
        <v>92</v>
      </c>
      <c r="AA61" s="72" t="s">
        <v>92</v>
      </c>
      <c r="AB61" s="74" t="s">
        <v>92</v>
      </c>
      <c r="AC61" s="72" t="s">
        <v>92</v>
      </c>
    </row>
    <row r="62" spans="2:29" ht="29.1">
      <c r="B62" t="s">
        <v>178</v>
      </c>
      <c r="C62" t="s">
        <v>22</v>
      </c>
      <c r="D62" t="s">
        <v>179</v>
      </c>
      <c r="E62" t="s">
        <v>180</v>
      </c>
      <c r="F62" s="1" t="s">
        <v>181</v>
      </c>
      <c r="G62" t="s">
        <v>47</v>
      </c>
      <c r="H62" t="s">
        <v>182</v>
      </c>
      <c r="I62" t="s">
        <v>183</v>
      </c>
      <c r="J62" s="118">
        <v>46079</v>
      </c>
      <c r="K62" s="118">
        <v>46084</v>
      </c>
      <c r="L62" t="s">
        <v>29</v>
      </c>
      <c r="M62" s="28"/>
      <c r="N62" s="28"/>
      <c r="O62" s="28"/>
      <c r="P62" s="52"/>
      <c r="Q62" s="52"/>
      <c r="R62" s="28"/>
      <c r="S62" s="28"/>
      <c r="T62" s="97"/>
      <c r="U62" s="28"/>
      <c r="V62" s="28"/>
      <c r="W62" s="28"/>
      <c r="X62" s="28"/>
      <c r="Y62" s="28"/>
      <c r="Z62" s="28"/>
      <c r="AA62" s="36"/>
      <c r="AB62" s="28"/>
      <c r="AC62" s="28"/>
    </row>
    <row r="63" spans="2:29" ht="14.45">
      <c r="B63" t="s">
        <v>184</v>
      </c>
      <c r="C63" t="s">
        <v>22</v>
      </c>
      <c r="D63" t="s">
        <v>179</v>
      </c>
      <c r="E63" t="s">
        <v>180</v>
      </c>
      <c r="F63" s="1" t="s">
        <v>185</v>
      </c>
      <c r="G63" t="s">
        <v>117</v>
      </c>
      <c r="H63" t="s">
        <v>186</v>
      </c>
      <c r="I63" t="s">
        <v>187</v>
      </c>
      <c r="J63" s="39">
        <v>46079</v>
      </c>
      <c r="K63" s="39">
        <v>46084</v>
      </c>
      <c r="L63" t="s">
        <v>29</v>
      </c>
      <c r="M63" s="28"/>
      <c r="N63" s="28"/>
      <c r="O63" s="28"/>
      <c r="P63" s="52"/>
      <c r="Q63" s="52"/>
      <c r="R63" s="28"/>
      <c r="S63" s="28"/>
      <c r="T63" s="97"/>
      <c r="U63" s="28"/>
      <c r="V63" s="28"/>
      <c r="W63" s="28"/>
      <c r="X63" s="28"/>
      <c r="Y63" s="28"/>
      <c r="Z63" s="28"/>
      <c r="AA63" s="36"/>
      <c r="AB63" s="28"/>
      <c r="AC63" s="28"/>
    </row>
    <row r="64" spans="2:29" ht="14.45">
      <c r="B64" t="s">
        <v>188</v>
      </c>
      <c r="C64" t="s">
        <v>22</v>
      </c>
      <c r="D64" t="s">
        <v>179</v>
      </c>
      <c r="E64" t="s">
        <v>180</v>
      </c>
      <c r="F64" s="1" t="s">
        <v>189</v>
      </c>
      <c r="G64" t="s">
        <v>144</v>
      </c>
      <c r="H64" t="s">
        <v>190</v>
      </c>
      <c r="I64" t="s">
        <v>6</v>
      </c>
      <c r="J64" s="118">
        <v>46105</v>
      </c>
      <c r="K64" s="118">
        <v>46119</v>
      </c>
      <c r="L64" t="s">
        <v>29</v>
      </c>
      <c r="M64" s="28"/>
      <c r="N64" s="28"/>
      <c r="O64" s="28"/>
      <c r="P64" s="28"/>
      <c r="Q64" s="28"/>
      <c r="R64" s="28"/>
      <c r="S64" s="28"/>
      <c r="T64" s="103"/>
      <c r="U64" s="52"/>
      <c r="V64" s="28"/>
      <c r="W64" s="28"/>
      <c r="X64" s="28"/>
      <c r="Y64" s="28"/>
      <c r="Z64" s="28"/>
      <c r="AA64" s="36"/>
      <c r="AB64" s="28"/>
      <c r="AC64" s="28"/>
    </row>
    <row r="65" spans="2:29" ht="14.45">
      <c r="B65" t="s">
        <v>191</v>
      </c>
      <c r="C65" t="s">
        <v>22</v>
      </c>
      <c r="D65" t="s">
        <v>179</v>
      </c>
      <c r="E65" t="s">
        <v>180</v>
      </c>
      <c r="F65" s="1" t="s">
        <v>192</v>
      </c>
      <c r="G65" t="s">
        <v>144</v>
      </c>
      <c r="I65" t="s">
        <v>6</v>
      </c>
      <c r="J65" s="39">
        <v>46079</v>
      </c>
      <c r="K65" s="118">
        <v>46104</v>
      </c>
      <c r="L65" t="s">
        <v>29</v>
      </c>
      <c r="M65" s="28"/>
      <c r="N65" s="28"/>
      <c r="O65" s="28"/>
      <c r="P65" s="52"/>
      <c r="Q65" s="52"/>
      <c r="R65" s="52"/>
      <c r="S65" s="52"/>
      <c r="T65" s="97"/>
      <c r="U65" s="28"/>
      <c r="V65" s="28"/>
      <c r="W65" s="28"/>
      <c r="X65" s="28"/>
      <c r="Y65" s="28"/>
      <c r="Z65" s="28"/>
      <c r="AA65" s="98"/>
      <c r="AB65" s="28"/>
      <c r="AC65" s="28"/>
    </row>
    <row r="66" spans="2:29" ht="29.1">
      <c r="B66" t="s">
        <v>193</v>
      </c>
      <c r="C66" t="s">
        <v>22</v>
      </c>
      <c r="D66" t="s">
        <v>179</v>
      </c>
      <c r="E66" t="s">
        <v>180</v>
      </c>
      <c r="F66" s="1" t="s">
        <v>194</v>
      </c>
      <c r="G66" t="s">
        <v>144</v>
      </c>
      <c r="H66" s="2" t="s">
        <v>195</v>
      </c>
      <c r="I66" t="s">
        <v>6</v>
      </c>
      <c r="J66" s="39">
        <v>46091</v>
      </c>
      <c r="K66" s="118">
        <v>46138</v>
      </c>
      <c r="L66" t="s">
        <v>29</v>
      </c>
      <c r="M66" s="28"/>
      <c r="N66" s="28"/>
      <c r="O66" s="28"/>
      <c r="P66" s="28"/>
      <c r="Q66" s="28"/>
      <c r="R66" s="51"/>
      <c r="S66" s="51"/>
      <c r="T66" s="104"/>
      <c r="U66" s="52"/>
      <c r="V66" s="52"/>
      <c r="W66" s="52"/>
      <c r="X66" s="28"/>
      <c r="Y66" s="28"/>
      <c r="Z66" s="28"/>
      <c r="AA66" s="36"/>
      <c r="AB66" s="99"/>
      <c r="AC66" s="99"/>
    </row>
    <row r="67" spans="2:29" ht="29.1">
      <c r="B67" t="s">
        <v>196</v>
      </c>
      <c r="C67" t="s">
        <v>22</v>
      </c>
      <c r="D67" t="s">
        <v>179</v>
      </c>
      <c r="E67" t="s">
        <v>180</v>
      </c>
      <c r="F67" s="1" t="s">
        <v>197</v>
      </c>
      <c r="G67" t="s">
        <v>144</v>
      </c>
      <c r="H67" t="s">
        <v>198</v>
      </c>
      <c r="I67" t="s">
        <v>187</v>
      </c>
      <c r="J67" s="118">
        <v>46079</v>
      </c>
      <c r="K67" s="118">
        <v>46098</v>
      </c>
      <c r="L67" t="s">
        <v>29</v>
      </c>
      <c r="M67" s="28"/>
      <c r="N67" s="28"/>
      <c r="O67" s="28"/>
      <c r="P67" s="52"/>
      <c r="Q67" s="52"/>
      <c r="R67" s="52"/>
      <c r="S67" s="28"/>
      <c r="T67" s="28"/>
      <c r="U67" s="100"/>
      <c r="V67" s="100"/>
      <c r="W67" s="100"/>
      <c r="X67" s="100"/>
      <c r="Y67" s="100"/>
      <c r="Z67" s="100"/>
      <c r="AA67" s="28"/>
      <c r="AB67" s="28"/>
      <c r="AC67" s="28"/>
    </row>
    <row r="68" spans="2:29" ht="14.45">
      <c r="B68" t="s">
        <v>199</v>
      </c>
      <c r="C68" t="s">
        <v>22</v>
      </c>
      <c r="D68" t="s">
        <v>179</v>
      </c>
      <c r="E68" t="s">
        <v>180</v>
      </c>
      <c r="F68" s="1" t="s">
        <v>200</v>
      </c>
      <c r="G68" t="s">
        <v>51</v>
      </c>
      <c r="H68" t="s">
        <v>201</v>
      </c>
      <c r="I68" t="s">
        <v>6</v>
      </c>
      <c r="J68" s="118">
        <v>46121</v>
      </c>
      <c r="K68" s="118">
        <v>46142</v>
      </c>
      <c r="L68" t="s">
        <v>202</v>
      </c>
      <c r="M68" s="28"/>
      <c r="N68" s="28"/>
      <c r="O68" s="28"/>
      <c r="P68" s="28"/>
      <c r="Q68" s="28"/>
      <c r="R68" s="28"/>
      <c r="S68" s="28"/>
      <c r="T68" s="28"/>
      <c r="U68" s="28"/>
      <c r="V68" s="49"/>
      <c r="W68" s="49"/>
      <c r="X68" s="49"/>
      <c r="Y68" s="121"/>
      <c r="Z68" s="121"/>
      <c r="AA68" s="121"/>
      <c r="AB68" s="28"/>
      <c r="AC68" s="28"/>
    </row>
    <row r="69" spans="2:29" ht="14.45">
      <c r="B69" t="s">
        <v>203</v>
      </c>
      <c r="C69" t="s">
        <v>22</v>
      </c>
      <c r="D69" t="s">
        <v>179</v>
      </c>
      <c r="E69" t="s">
        <v>180</v>
      </c>
      <c r="F69" s="1" t="s">
        <v>204</v>
      </c>
      <c r="G69" t="s">
        <v>26</v>
      </c>
      <c r="H69" t="s">
        <v>205</v>
      </c>
      <c r="I69" t="s">
        <v>206</v>
      </c>
      <c r="J69" s="118">
        <v>46121</v>
      </c>
      <c r="K69" s="118">
        <v>46128</v>
      </c>
      <c r="L69" t="s">
        <v>29</v>
      </c>
      <c r="M69" s="28"/>
      <c r="N69" s="28"/>
      <c r="O69" s="28"/>
      <c r="P69" s="28"/>
      <c r="Q69" s="28"/>
      <c r="R69" s="28"/>
      <c r="S69" s="28"/>
      <c r="T69" s="28"/>
      <c r="U69" s="28"/>
      <c r="V69" s="52"/>
      <c r="W69" s="52"/>
      <c r="X69" s="52"/>
      <c r="Y69" s="52"/>
      <c r="Z69" s="52"/>
      <c r="AA69" s="28"/>
      <c r="AB69" s="28"/>
      <c r="AC69" s="28"/>
    </row>
    <row r="70" spans="2:29" ht="14.45">
      <c r="B70" t="s">
        <v>207</v>
      </c>
      <c r="C70" t="s">
        <v>22</v>
      </c>
      <c r="D70" t="s">
        <v>179</v>
      </c>
      <c r="E70" t="s">
        <v>180</v>
      </c>
      <c r="F70" s="1" t="s">
        <v>157</v>
      </c>
      <c r="G70" t="s">
        <v>51</v>
      </c>
      <c r="I70" t="s">
        <v>6</v>
      </c>
      <c r="J70" s="39">
        <v>46121</v>
      </c>
      <c r="K70" s="39">
        <v>46142</v>
      </c>
      <c r="L70" t="s">
        <v>29</v>
      </c>
      <c r="M70" s="28"/>
      <c r="N70" s="28"/>
      <c r="O70" s="28"/>
      <c r="P70" s="28"/>
      <c r="Q70" s="28"/>
      <c r="R70" s="28"/>
      <c r="S70" s="28"/>
      <c r="T70" s="28"/>
      <c r="U70" s="28"/>
      <c r="V70" s="52"/>
      <c r="W70" s="52"/>
      <c r="X70" s="52"/>
      <c r="Y70" s="52"/>
      <c r="Z70" s="52"/>
      <c r="AA70" s="28"/>
      <c r="AB70" s="28"/>
      <c r="AC70" s="28"/>
    </row>
    <row r="71" spans="2:29" ht="14.45">
      <c r="B71" t="s">
        <v>208</v>
      </c>
      <c r="C71" t="s">
        <v>22</v>
      </c>
      <c r="D71" t="s">
        <v>179</v>
      </c>
      <c r="E71" t="s">
        <v>209</v>
      </c>
      <c r="F71" s="1" t="s">
        <v>210</v>
      </c>
      <c r="G71" t="s">
        <v>26</v>
      </c>
      <c r="H71" t="s">
        <v>211</v>
      </c>
      <c r="I71" t="s">
        <v>212</v>
      </c>
      <c r="J71" s="26">
        <v>46086</v>
      </c>
      <c r="K71" s="118">
        <v>46100</v>
      </c>
      <c r="L71" t="s">
        <v>29</v>
      </c>
      <c r="M71" s="28"/>
      <c r="N71" s="28"/>
      <c r="O71" s="28"/>
      <c r="P71" s="28"/>
      <c r="Q71" s="52"/>
      <c r="R71" s="52"/>
      <c r="S71" s="52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2:29" ht="19.5" customHeight="1">
      <c r="B72" t="s">
        <v>213</v>
      </c>
      <c r="C72" t="s">
        <v>22</v>
      </c>
      <c r="D72" t="s">
        <v>179</v>
      </c>
      <c r="E72" t="s">
        <v>209</v>
      </c>
      <c r="F72" s="1" t="s">
        <v>214</v>
      </c>
      <c r="G72" t="s">
        <v>144</v>
      </c>
      <c r="H72" t="s">
        <v>211</v>
      </c>
      <c r="I72" t="s">
        <v>212</v>
      </c>
      <c r="J72" s="57">
        <v>46086</v>
      </c>
      <c r="K72" s="118">
        <v>46086</v>
      </c>
      <c r="L72" t="s">
        <v>29</v>
      </c>
      <c r="M72" s="28"/>
      <c r="N72" s="28"/>
      <c r="O72" s="28"/>
      <c r="P72" s="28"/>
      <c r="Q72" s="52"/>
      <c r="R72" s="28"/>
      <c r="S72" s="28"/>
      <c r="T72" s="99"/>
      <c r="U72" s="99"/>
      <c r="V72" s="99"/>
      <c r="W72" s="99"/>
      <c r="X72" s="99"/>
      <c r="Y72" s="101"/>
      <c r="Z72" s="99"/>
      <c r="AA72" s="99"/>
      <c r="AB72" s="99"/>
      <c r="AC72" s="28"/>
    </row>
    <row r="73" spans="2:29" ht="20.25" customHeight="1">
      <c r="B73" t="s">
        <v>215</v>
      </c>
      <c r="C73" t="s">
        <v>22</v>
      </c>
      <c r="D73" t="s">
        <v>179</v>
      </c>
      <c r="E73" t="s">
        <v>209</v>
      </c>
      <c r="F73" s="1" t="s">
        <v>216</v>
      </c>
      <c r="G73" t="s">
        <v>26</v>
      </c>
      <c r="H73" t="s">
        <v>217</v>
      </c>
      <c r="I73" t="s">
        <v>212</v>
      </c>
      <c r="J73" s="57">
        <v>46086</v>
      </c>
      <c r="K73" s="118">
        <v>46093</v>
      </c>
      <c r="L73" t="s">
        <v>29</v>
      </c>
      <c r="M73" s="28"/>
      <c r="N73" s="28"/>
      <c r="O73" s="28"/>
      <c r="P73" s="28"/>
      <c r="Q73" s="52"/>
      <c r="R73" s="52"/>
      <c r="S73" s="97"/>
      <c r="T73" s="97"/>
      <c r="U73" s="28"/>
      <c r="V73" s="28"/>
      <c r="W73" s="28"/>
      <c r="X73" s="28"/>
      <c r="Y73" s="28"/>
      <c r="Z73" s="28"/>
      <c r="AA73" s="36"/>
      <c r="AB73" s="28"/>
      <c r="AC73" s="36"/>
    </row>
    <row r="74" spans="2:29" ht="14.45">
      <c r="B74" t="s">
        <v>218</v>
      </c>
      <c r="C74" t="s">
        <v>22</v>
      </c>
      <c r="D74" t="s">
        <v>179</v>
      </c>
      <c r="E74" t="s">
        <v>209</v>
      </c>
      <c r="F74" s="1" t="s">
        <v>219</v>
      </c>
      <c r="G74" t="s">
        <v>51</v>
      </c>
      <c r="H74" t="s">
        <v>190</v>
      </c>
      <c r="I74" t="s">
        <v>212</v>
      </c>
      <c r="J74" s="26">
        <v>46072</v>
      </c>
      <c r="K74" s="118">
        <v>46079</v>
      </c>
      <c r="L74" t="s">
        <v>29</v>
      </c>
      <c r="M74" s="28"/>
      <c r="N74" s="28"/>
      <c r="O74" s="52"/>
      <c r="P74" s="52"/>
      <c r="Q74" s="28"/>
      <c r="R74" s="28"/>
      <c r="S74" s="97"/>
      <c r="T74" s="28"/>
      <c r="U74" s="100"/>
      <c r="V74" s="100"/>
      <c r="W74" s="100"/>
      <c r="X74" s="100"/>
      <c r="Y74" s="100"/>
      <c r="Z74" s="100"/>
      <c r="AA74" s="28"/>
      <c r="AB74" s="28"/>
      <c r="AC74" s="36"/>
    </row>
    <row r="75" spans="2:29" ht="14.45">
      <c r="B75" t="s">
        <v>220</v>
      </c>
      <c r="C75" t="s">
        <v>22</v>
      </c>
      <c r="D75" t="s">
        <v>179</v>
      </c>
      <c r="E75" t="s">
        <v>209</v>
      </c>
      <c r="F75" s="1" t="s">
        <v>157</v>
      </c>
      <c r="G75" t="s">
        <v>51</v>
      </c>
      <c r="H75" t="s">
        <v>190</v>
      </c>
      <c r="I75" t="s">
        <v>212</v>
      </c>
      <c r="J75" s="119">
        <v>46072</v>
      </c>
      <c r="K75" s="39">
        <v>46079</v>
      </c>
      <c r="L75" t="s">
        <v>29</v>
      </c>
      <c r="M75" s="28"/>
      <c r="N75" s="28"/>
      <c r="O75" s="52"/>
      <c r="P75" s="52"/>
      <c r="Q75" s="28"/>
      <c r="R75" s="28"/>
      <c r="S75" s="28"/>
      <c r="T75" s="100"/>
      <c r="U75" s="100"/>
      <c r="V75" s="100"/>
      <c r="W75" s="100"/>
      <c r="X75" s="100"/>
      <c r="Y75" s="100"/>
      <c r="Z75" s="100"/>
      <c r="AA75" s="100"/>
      <c r="AB75" s="100"/>
      <c r="AC75" s="28"/>
    </row>
    <row r="76" spans="2:29" ht="14.45">
      <c r="B76" t="s">
        <v>221</v>
      </c>
      <c r="C76" t="s">
        <v>22</v>
      </c>
      <c r="D76" t="s">
        <v>179</v>
      </c>
      <c r="E76" s="2" t="s">
        <v>222</v>
      </c>
      <c r="F76" s="1" t="s">
        <v>223</v>
      </c>
      <c r="G76" s="2" t="s">
        <v>224</v>
      </c>
      <c r="H76" t="s">
        <v>225</v>
      </c>
      <c r="I76" t="s">
        <v>226</v>
      </c>
      <c r="J76" s="26">
        <v>46100</v>
      </c>
      <c r="K76" s="118">
        <v>46107</v>
      </c>
      <c r="L76" t="s">
        <v>29</v>
      </c>
      <c r="M76" s="28"/>
      <c r="N76" s="28"/>
      <c r="O76" s="28"/>
      <c r="P76" s="28"/>
      <c r="Q76" s="28"/>
      <c r="R76" s="28"/>
      <c r="S76" s="52"/>
      <c r="T76" s="52"/>
      <c r="U76" s="28"/>
      <c r="V76" s="28"/>
      <c r="W76" s="28"/>
      <c r="X76" s="28"/>
      <c r="Y76" s="28"/>
      <c r="Z76" s="28"/>
      <c r="AA76" s="28"/>
      <c r="AB76" s="28"/>
      <c r="AC76" s="28"/>
    </row>
    <row r="77" spans="2:29" ht="14.45">
      <c r="B77" t="s">
        <v>227</v>
      </c>
      <c r="C77" t="s">
        <v>22</v>
      </c>
      <c r="D77" t="s">
        <v>179</v>
      </c>
      <c r="E77" t="s">
        <v>180</v>
      </c>
      <c r="F77" s="1" t="s">
        <v>228</v>
      </c>
      <c r="G77" t="s">
        <v>229</v>
      </c>
      <c r="H77" t="s">
        <v>190</v>
      </c>
      <c r="I77" t="s">
        <v>230</v>
      </c>
      <c r="J77" s="119">
        <v>46107</v>
      </c>
      <c r="K77" s="39">
        <v>46128</v>
      </c>
      <c r="L77" t="s">
        <v>29</v>
      </c>
      <c r="M77" s="28"/>
      <c r="N77" s="28"/>
      <c r="O77" s="28"/>
      <c r="P77" s="28"/>
      <c r="Q77" s="28"/>
      <c r="R77" s="28"/>
      <c r="S77" s="28"/>
      <c r="T77" s="52"/>
      <c r="U77" s="52"/>
      <c r="V77" s="52"/>
      <c r="W77" s="28"/>
      <c r="X77" s="28"/>
      <c r="Y77" s="28"/>
      <c r="Z77" s="28"/>
      <c r="AA77" s="28"/>
      <c r="AB77" s="28"/>
      <c r="AC77" s="28"/>
    </row>
    <row r="78" spans="2:29" ht="29.1">
      <c r="B78" s="40" t="s">
        <v>231</v>
      </c>
      <c r="C78" s="40" t="s">
        <v>22</v>
      </c>
      <c r="D78" s="40" t="s">
        <v>179</v>
      </c>
      <c r="E78" s="41" t="s">
        <v>232</v>
      </c>
      <c r="F78" s="42" t="s">
        <v>233</v>
      </c>
      <c r="G78" s="41" t="s">
        <v>51</v>
      </c>
      <c r="H78" s="40" t="s">
        <v>234</v>
      </c>
      <c r="I78" s="40" t="s">
        <v>206</v>
      </c>
      <c r="J78" s="43">
        <v>46100</v>
      </c>
      <c r="K78" s="43">
        <v>46142</v>
      </c>
      <c r="L78" s="40" t="s">
        <v>235</v>
      </c>
      <c r="M78" s="28"/>
      <c r="N78" s="28"/>
      <c r="O78" s="28"/>
      <c r="P78" s="28"/>
      <c r="Q78" s="28"/>
      <c r="R78" s="28"/>
      <c r="S78" s="52"/>
      <c r="T78" s="52"/>
      <c r="U78" s="52"/>
      <c r="V78" s="52"/>
      <c r="W78" s="52"/>
      <c r="X78" s="52"/>
      <c r="Y78" s="52"/>
      <c r="Z78" s="52"/>
      <c r="AA78" s="28"/>
      <c r="AB78" s="28"/>
      <c r="AC78" s="28"/>
    </row>
    <row r="79" spans="2:29" ht="14.45">
      <c r="B79" t="s">
        <v>236</v>
      </c>
      <c r="C79" t="s">
        <v>22</v>
      </c>
      <c r="D79" t="s">
        <v>179</v>
      </c>
      <c r="E79" t="s">
        <v>180</v>
      </c>
      <c r="F79" s="1" t="s">
        <v>237</v>
      </c>
      <c r="G79" t="s">
        <v>238</v>
      </c>
      <c r="H79" t="s">
        <v>239</v>
      </c>
      <c r="I79" t="s">
        <v>6</v>
      </c>
      <c r="J79" s="119">
        <v>46121</v>
      </c>
      <c r="K79" s="39">
        <v>46135</v>
      </c>
      <c r="L79" t="s">
        <v>202</v>
      </c>
      <c r="M79" s="28"/>
      <c r="N79" s="28"/>
      <c r="O79" s="28"/>
      <c r="P79" s="28"/>
      <c r="Q79" s="28"/>
      <c r="R79" s="28"/>
      <c r="S79" s="28"/>
      <c r="T79" s="28"/>
      <c r="U79" s="28"/>
      <c r="V79" s="105"/>
      <c r="W79" s="105"/>
      <c r="X79" s="25"/>
      <c r="Y79" s="121"/>
      <c r="Z79" s="121"/>
      <c r="AA79" s="25"/>
      <c r="AB79" s="25"/>
      <c r="AC79" s="28"/>
    </row>
    <row r="80" spans="2:29" ht="16.5" customHeight="1">
      <c r="B80" s="61" t="s">
        <v>240</v>
      </c>
      <c r="C80" s="61" t="s">
        <v>22</v>
      </c>
      <c r="D80" s="61" t="s">
        <v>179</v>
      </c>
      <c r="E80" s="62" t="s">
        <v>241</v>
      </c>
      <c r="F80" s="63" t="s">
        <v>242</v>
      </c>
      <c r="G80" s="62" t="s">
        <v>26</v>
      </c>
      <c r="H80" s="61" t="s">
        <v>243</v>
      </c>
      <c r="I80" s="61" t="s">
        <v>206</v>
      </c>
      <c r="J80" s="65">
        <v>46128</v>
      </c>
      <c r="K80" s="65">
        <v>46135</v>
      </c>
      <c r="L80" s="61" t="s">
        <v>202</v>
      </c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49"/>
      <c r="X80" s="49"/>
      <c r="Y80" s="25"/>
      <c r="Z80" s="25"/>
      <c r="AA80" s="25"/>
      <c r="AB80" s="25"/>
      <c r="AC80" s="28"/>
    </row>
    <row r="81" spans="2:29" ht="14.45">
      <c r="B81" t="s">
        <v>244</v>
      </c>
      <c r="C81" t="s">
        <v>22</v>
      </c>
      <c r="D81" t="s">
        <v>179</v>
      </c>
      <c r="E81" t="s">
        <v>241</v>
      </c>
      <c r="F81" s="1" t="s">
        <v>243</v>
      </c>
      <c r="G81" t="s">
        <v>51</v>
      </c>
      <c r="H81" t="s">
        <v>245</v>
      </c>
      <c r="I81" t="s">
        <v>246</v>
      </c>
      <c r="J81" s="119">
        <v>46121</v>
      </c>
      <c r="K81" s="39">
        <v>46128</v>
      </c>
      <c r="L81" t="s">
        <v>202</v>
      </c>
      <c r="M81" s="28"/>
      <c r="N81" s="28"/>
      <c r="O81" s="28"/>
      <c r="P81" s="28"/>
      <c r="Q81" s="28"/>
      <c r="R81" s="28"/>
      <c r="S81" s="28"/>
      <c r="T81" s="28"/>
      <c r="U81" s="28"/>
      <c r="V81" s="49"/>
      <c r="W81" s="49"/>
      <c r="X81" s="25"/>
      <c r="Y81" s="25"/>
      <c r="Z81" s="25"/>
      <c r="AA81" s="25"/>
      <c r="AB81" s="25"/>
      <c r="AC81" s="28"/>
    </row>
    <row r="82" spans="2:29" ht="19.5" customHeight="1">
      <c r="B82" s="61" t="s">
        <v>247</v>
      </c>
      <c r="C82" s="61" t="s">
        <v>22</v>
      </c>
      <c r="D82" s="61" t="s">
        <v>179</v>
      </c>
      <c r="E82" s="62" t="s">
        <v>180</v>
      </c>
      <c r="F82" s="63" t="s">
        <v>248</v>
      </c>
      <c r="G82" s="62" t="s">
        <v>51</v>
      </c>
      <c r="H82" s="61" t="s">
        <v>205</v>
      </c>
      <c r="I82" s="61" t="s">
        <v>206</v>
      </c>
      <c r="J82" s="65">
        <v>46121</v>
      </c>
      <c r="K82" s="65">
        <v>46128</v>
      </c>
      <c r="L82" s="61" t="s">
        <v>29</v>
      </c>
      <c r="M82" s="28"/>
      <c r="N82" s="28"/>
      <c r="O82" s="28"/>
      <c r="P82" s="28"/>
      <c r="Q82" s="28"/>
      <c r="R82" s="28"/>
      <c r="S82" s="28"/>
      <c r="T82" s="28"/>
      <c r="U82" s="28"/>
      <c r="V82" s="52"/>
      <c r="W82" s="52"/>
      <c r="X82" s="52"/>
      <c r="Y82" s="52"/>
      <c r="Z82" s="52"/>
      <c r="AA82" s="28"/>
      <c r="AB82" s="28"/>
      <c r="AC82" s="28"/>
    </row>
    <row r="83" spans="2:29" ht="14.45">
      <c r="B83" t="s">
        <v>249</v>
      </c>
      <c r="C83" t="s">
        <v>22</v>
      </c>
      <c r="D83" t="s">
        <v>179</v>
      </c>
      <c r="E83" t="s">
        <v>180</v>
      </c>
      <c r="F83" s="1" t="s">
        <v>250</v>
      </c>
      <c r="G83" t="s">
        <v>51</v>
      </c>
      <c r="H83" t="s">
        <v>251</v>
      </c>
      <c r="I83" t="s">
        <v>252</v>
      </c>
      <c r="J83" s="119">
        <v>46128</v>
      </c>
      <c r="K83" s="39">
        <v>46135</v>
      </c>
      <c r="L83" t="s">
        <v>235</v>
      </c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52"/>
      <c r="X83" s="52"/>
      <c r="Y83" s="52"/>
      <c r="Z83" s="28"/>
      <c r="AA83" s="28"/>
      <c r="AB83" s="28"/>
      <c r="AC83" s="28"/>
    </row>
    <row r="84" spans="2:29" ht="29.1">
      <c r="B84" s="61" t="s">
        <v>253</v>
      </c>
      <c r="C84" s="61" t="s">
        <v>22</v>
      </c>
      <c r="D84" s="61" t="s">
        <v>179</v>
      </c>
      <c r="E84" s="62" t="s">
        <v>180</v>
      </c>
      <c r="F84" s="63" t="s">
        <v>254</v>
      </c>
      <c r="G84" s="62" t="s">
        <v>224</v>
      </c>
      <c r="H84" s="61"/>
      <c r="I84" s="61" t="s">
        <v>206</v>
      </c>
      <c r="J84" s="65">
        <v>46121</v>
      </c>
      <c r="K84" s="65">
        <v>46142</v>
      </c>
      <c r="L84" s="61" t="s">
        <v>29</v>
      </c>
      <c r="M84" s="20"/>
      <c r="N84" s="20"/>
      <c r="O84" s="20"/>
      <c r="P84" s="20"/>
      <c r="Q84" s="20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20"/>
    </row>
    <row r="85" spans="2:29" ht="29.1">
      <c r="B85" t="s">
        <v>255</v>
      </c>
      <c r="C85" t="s">
        <v>22</v>
      </c>
      <c r="D85" t="s">
        <v>179</v>
      </c>
      <c r="E85" t="s">
        <v>180</v>
      </c>
      <c r="F85" s="1" t="s">
        <v>256</v>
      </c>
      <c r="G85" t="s">
        <v>224</v>
      </c>
      <c r="H85" t="s">
        <v>257</v>
      </c>
      <c r="I85" t="s">
        <v>226</v>
      </c>
      <c r="J85" s="119">
        <v>46142</v>
      </c>
      <c r="K85" s="39">
        <v>46142</v>
      </c>
      <c r="L85" t="s">
        <v>202</v>
      </c>
      <c r="M85" s="20"/>
      <c r="N85" s="52"/>
      <c r="O85" s="52"/>
      <c r="P85" s="52"/>
      <c r="Q85" s="52"/>
      <c r="R85" s="52"/>
      <c r="S85" s="52"/>
      <c r="T85" s="52"/>
      <c r="U85" s="52"/>
      <c r="V85" s="52"/>
      <c r="W85" s="25"/>
      <c r="X85" s="25"/>
      <c r="Y85" s="25"/>
      <c r="Z85" s="25"/>
      <c r="AA85" s="25"/>
      <c r="AB85" s="25"/>
      <c r="AC85" s="20"/>
    </row>
    <row r="86" spans="2:29" ht="29.1">
      <c r="B86" s="61" t="s">
        <v>258</v>
      </c>
      <c r="C86" s="61" t="s">
        <v>22</v>
      </c>
      <c r="D86" s="61" t="s">
        <v>179</v>
      </c>
      <c r="E86" s="62" t="s">
        <v>180</v>
      </c>
      <c r="F86" s="63" t="s">
        <v>259</v>
      </c>
      <c r="G86" s="62" t="s">
        <v>260</v>
      </c>
      <c r="H86" s="61" t="s">
        <v>261</v>
      </c>
      <c r="I86" s="61" t="s">
        <v>206</v>
      </c>
      <c r="J86" s="65">
        <v>46121</v>
      </c>
      <c r="K86" s="65">
        <v>46147</v>
      </c>
      <c r="L86" s="61" t="s">
        <v>235</v>
      </c>
      <c r="M86" s="20"/>
      <c r="N86" s="20"/>
      <c r="O86" s="20"/>
      <c r="P86" s="20"/>
      <c r="Q86" s="20"/>
      <c r="R86" s="20"/>
      <c r="S86" s="20"/>
      <c r="T86" s="20"/>
      <c r="U86" s="52"/>
      <c r="V86" s="52"/>
      <c r="W86" s="52"/>
      <c r="X86" s="52"/>
      <c r="Y86" s="52"/>
      <c r="Z86" s="20"/>
      <c r="AA86" s="20"/>
      <c r="AB86" s="20"/>
      <c r="AC86" s="20"/>
    </row>
    <row r="87" spans="2:29" ht="14.45">
      <c r="B87" t="s">
        <v>262</v>
      </c>
      <c r="C87" t="s">
        <v>22</v>
      </c>
      <c r="D87" t="s">
        <v>263</v>
      </c>
      <c r="E87" t="s">
        <v>264</v>
      </c>
      <c r="F87" s="1" t="s">
        <v>265</v>
      </c>
      <c r="G87" t="s">
        <v>37</v>
      </c>
      <c r="H87" s="2" t="s">
        <v>266</v>
      </c>
      <c r="I87" t="s">
        <v>267</v>
      </c>
      <c r="J87" s="37">
        <v>46107</v>
      </c>
      <c r="K87" s="26">
        <v>46121</v>
      </c>
      <c r="L87" t="s">
        <v>235</v>
      </c>
      <c r="M87" s="20"/>
      <c r="N87" s="20"/>
      <c r="O87" s="20"/>
      <c r="P87" s="20"/>
      <c r="Q87" s="29"/>
      <c r="R87" s="29"/>
      <c r="S87" s="29"/>
      <c r="T87" s="29"/>
      <c r="U87" s="29"/>
      <c r="V87" s="29"/>
      <c r="W87" s="20"/>
      <c r="X87" s="20"/>
      <c r="Y87" s="20"/>
      <c r="Z87" s="20"/>
      <c r="AA87" s="20"/>
      <c r="AB87" s="20"/>
      <c r="AC87" s="20"/>
    </row>
    <row r="88" spans="2:29" ht="14.45">
      <c r="B88" t="s">
        <v>268</v>
      </c>
      <c r="C88" t="s">
        <v>22</v>
      </c>
      <c r="D88" t="s">
        <v>263</v>
      </c>
      <c r="E88" t="s">
        <v>264</v>
      </c>
      <c r="F88" s="1" t="s">
        <v>269</v>
      </c>
      <c r="G88" t="s">
        <v>117</v>
      </c>
      <c r="H88" s="2" t="s">
        <v>266</v>
      </c>
      <c r="I88" t="s">
        <v>267</v>
      </c>
      <c r="J88" s="37">
        <v>46107</v>
      </c>
      <c r="K88" s="26">
        <v>46121</v>
      </c>
      <c r="L88" t="s">
        <v>235</v>
      </c>
      <c r="M88" s="20"/>
      <c r="N88" s="20"/>
      <c r="O88" s="20"/>
      <c r="P88" s="20"/>
      <c r="Q88" s="28"/>
      <c r="R88" s="29"/>
      <c r="S88" s="29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2:29" ht="43.5">
      <c r="B89" t="s">
        <v>270</v>
      </c>
      <c r="C89" t="s">
        <v>22</v>
      </c>
      <c r="D89" t="s">
        <v>263</v>
      </c>
      <c r="E89" t="s">
        <v>264</v>
      </c>
      <c r="F89" s="1" t="s">
        <v>271</v>
      </c>
      <c r="G89" t="s">
        <v>37</v>
      </c>
      <c r="H89" s="2" t="s">
        <v>272</v>
      </c>
      <c r="I89" t="s">
        <v>28</v>
      </c>
      <c r="J89" s="37">
        <v>46107</v>
      </c>
      <c r="K89" s="26">
        <v>46121</v>
      </c>
      <c r="L89" t="s">
        <v>29</v>
      </c>
      <c r="M89" s="20"/>
      <c r="N89" s="20"/>
      <c r="O89" s="20"/>
      <c r="P89" s="29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2:29" ht="14.45">
      <c r="B90" t="s">
        <v>273</v>
      </c>
      <c r="C90" t="s">
        <v>22</v>
      </c>
      <c r="D90" t="s">
        <v>263</v>
      </c>
      <c r="E90" t="s">
        <v>264</v>
      </c>
      <c r="F90" s="1" t="s">
        <v>274</v>
      </c>
      <c r="G90" t="s">
        <v>121</v>
      </c>
      <c r="H90" s="2" t="s">
        <v>275</v>
      </c>
      <c r="I90" t="s">
        <v>276</v>
      </c>
      <c r="J90" s="37">
        <v>46107</v>
      </c>
      <c r="K90" s="26">
        <v>46121</v>
      </c>
      <c r="L90" t="s">
        <v>29</v>
      </c>
      <c r="M90" s="20"/>
      <c r="N90" s="20"/>
      <c r="O90" s="20"/>
      <c r="P90" s="20"/>
      <c r="Q90" s="29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2:29" ht="14.45">
      <c r="B91" t="s">
        <v>277</v>
      </c>
      <c r="C91" t="s">
        <v>22</v>
      </c>
      <c r="D91" t="s">
        <v>263</v>
      </c>
      <c r="E91" t="s">
        <v>278</v>
      </c>
      <c r="F91" s="1" t="s">
        <v>279</v>
      </c>
      <c r="G91" t="s">
        <v>26</v>
      </c>
      <c r="H91" s="2" t="s">
        <v>275</v>
      </c>
      <c r="I91" t="s">
        <v>280</v>
      </c>
      <c r="J91" s="26">
        <v>46090</v>
      </c>
      <c r="K91" s="26">
        <v>46149</v>
      </c>
      <c r="L91" t="s">
        <v>29</v>
      </c>
      <c r="M91" s="20"/>
      <c r="N91" s="20"/>
      <c r="O91" s="20"/>
      <c r="P91" s="20"/>
      <c r="Q91" s="29"/>
      <c r="R91" s="29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2:29" ht="14.45">
      <c r="B92" t="s">
        <v>281</v>
      </c>
      <c r="C92" t="s">
        <v>22</v>
      </c>
      <c r="D92" t="s">
        <v>263</v>
      </c>
      <c r="E92" t="s">
        <v>278</v>
      </c>
      <c r="F92" s="1" t="s">
        <v>282</v>
      </c>
      <c r="G92" t="s">
        <v>26</v>
      </c>
      <c r="H92" s="2" t="s">
        <v>283</v>
      </c>
      <c r="I92" t="s">
        <v>284</v>
      </c>
      <c r="J92" s="26">
        <v>46132</v>
      </c>
      <c r="K92" s="26">
        <v>46163</v>
      </c>
      <c r="L92" t="s">
        <v>106</v>
      </c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9"/>
      <c r="AB92" s="29"/>
      <c r="AC92" s="29"/>
    </row>
    <row r="93" spans="2:29" ht="14.45">
      <c r="B93" t="s">
        <v>285</v>
      </c>
      <c r="C93" t="s">
        <v>22</v>
      </c>
      <c r="D93" t="s">
        <v>263</v>
      </c>
      <c r="E93" t="s">
        <v>286</v>
      </c>
      <c r="F93" s="1" t="s">
        <v>287</v>
      </c>
      <c r="G93" t="s">
        <v>51</v>
      </c>
      <c r="H93" s="2" t="s">
        <v>279</v>
      </c>
      <c r="I93" t="s">
        <v>288</v>
      </c>
      <c r="J93" s="26">
        <v>46107</v>
      </c>
      <c r="K93" s="26">
        <v>46121</v>
      </c>
      <c r="L93" t="s">
        <v>235</v>
      </c>
      <c r="M93" s="20"/>
      <c r="N93" s="20"/>
      <c r="O93" s="20"/>
      <c r="P93" s="20"/>
      <c r="Q93" s="20"/>
      <c r="R93" s="20"/>
      <c r="S93" s="20"/>
      <c r="T93" s="20"/>
      <c r="U93" s="20"/>
      <c r="V93" s="29"/>
      <c r="W93" s="20"/>
      <c r="X93" s="20"/>
      <c r="Y93" s="20"/>
      <c r="Z93" s="20"/>
      <c r="AA93" s="20"/>
      <c r="AB93" s="20"/>
      <c r="AC93" s="20"/>
    </row>
    <row r="94" spans="2:29" ht="14.45">
      <c r="B94" t="s">
        <v>289</v>
      </c>
      <c r="C94" t="s">
        <v>22</v>
      </c>
      <c r="D94" t="s">
        <v>263</v>
      </c>
      <c r="E94" t="s">
        <v>286</v>
      </c>
      <c r="F94" s="1" t="s">
        <v>290</v>
      </c>
      <c r="G94" t="s">
        <v>51</v>
      </c>
      <c r="H94" s="2" t="s">
        <v>291</v>
      </c>
      <c r="I94" t="s">
        <v>276</v>
      </c>
      <c r="J94" s="26">
        <v>46107</v>
      </c>
      <c r="K94" s="26">
        <v>46121</v>
      </c>
      <c r="L94" t="s">
        <v>29</v>
      </c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9"/>
      <c r="X94" s="20"/>
      <c r="Y94" s="20"/>
      <c r="Z94" s="20"/>
      <c r="AA94" s="20"/>
      <c r="AB94" s="20"/>
      <c r="AC94" s="20"/>
    </row>
    <row r="95" spans="2:29" ht="14.45">
      <c r="B95" t="s">
        <v>292</v>
      </c>
      <c r="C95" t="s">
        <v>22</v>
      </c>
      <c r="D95" t="s">
        <v>263</v>
      </c>
      <c r="E95" t="s">
        <v>286</v>
      </c>
      <c r="F95" s="1" t="s">
        <v>293</v>
      </c>
      <c r="G95" t="s">
        <v>51</v>
      </c>
      <c r="H95" s="2" t="s">
        <v>291</v>
      </c>
      <c r="I95" t="s">
        <v>288</v>
      </c>
      <c r="J95" s="37">
        <v>46107</v>
      </c>
      <c r="K95" s="26">
        <v>46121</v>
      </c>
      <c r="L95" t="s">
        <v>29</v>
      </c>
      <c r="M95" s="20"/>
      <c r="N95" s="20"/>
      <c r="O95" s="20"/>
      <c r="P95" s="20"/>
      <c r="Q95" s="20"/>
      <c r="R95" s="20"/>
      <c r="S95" s="20"/>
      <c r="T95" s="20"/>
      <c r="U95" s="20"/>
      <c r="V95" s="29"/>
      <c r="W95" s="20"/>
      <c r="X95" s="20"/>
      <c r="Y95" s="20"/>
      <c r="Z95" s="20"/>
      <c r="AA95" s="20"/>
      <c r="AB95" s="20"/>
      <c r="AC95" s="20"/>
    </row>
    <row r="96" spans="2:29" ht="14.45">
      <c r="B96" t="s">
        <v>294</v>
      </c>
      <c r="C96" t="s">
        <v>22</v>
      </c>
      <c r="D96" t="s">
        <v>263</v>
      </c>
      <c r="E96" t="s">
        <v>286</v>
      </c>
      <c r="F96" s="1" t="s">
        <v>295</v>
      </c>
      <c r="G96" t="s">
        <v>51</v>
      </c>
      <c r="H96" s="2" t="s">
        <v>291</v>
      </c>
      <c r="I96" t="s">
        <v>28</v>
      </c>
      <c r="J96" s="26">
        <v>46121</v>
      </c>
      <c r="K96" s="26">
        <v>46121</v>
      </c>
      <c r="L96" t="s">
        <v>29</v>
      </c>
      <c r="M96" s="20"/>
      <c r="N96" s="20"/>
      <c r="O96" s="20"/>
      <c r="P96" s="20"/>
      <c r="Q96" s="29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2:29" ht="14.45">
      <c r="B97" t="s">
        <v>296</v>
      </c>
      <c r="C97" t="s">
        <v>22</v>
      </c>
      <c r="D97" t="s">
        <v>263</v>
      </c>
      <c r="E97" t="s">
        <v>286</v>
      </c>
      <c r="F97" s="1" t="s">
        <v>297</v>
      </c>
      <c r="G97" t="s">
        <v>51</v>
      </c>
      <c r="H97" s="2" t="s">
        <v>291</v>
      </c>
      <c r="I97" t="s">
        <v>298</v>
      </c>
      <c r="J97" s="26">
        <v>46107</v>
      </c>
      <c r="K97" s="26">
        <v>46121</v>
      </c>
      <c r="L97" t="s">
        <v>29</v>
      </c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9"/>
      <c r="Y97" s="20"/>
      <c r="Z97" s="20"/>
      <c r="AA97" s="20"/>
      <c r="AB97" s="20"/>
      <c r="AC97" s="20"/>
    </row>
    <row r="98" spans="2:29" ht="14.45">
      <c r="B98" t="s">
        <v>299</v>
      </c>
      <c r="C98" t="s">
        <v>22</v>
      </c>
      <c r="D98" t="s">
        <v>263</v>
      </c>
      <c r="E98" t="s">
        <v>286</v>
      </c>
      <c r="F98" s="1" t="s">
        <v>300</v>
      </c>
      <c r="G98" t="s">
        <v>121</v>
      </c>
      <c r="H98" s="2" t="s">
        <v>301</v>
      </c>
      <c r="I98" t="s">
        <v>298</v>
      </c>
      <c r="J98" s="26">
        <v>46121</v>
      </c>
      <c r="K98" s="26">
        <v>46168</v>
      </c>
      <c r="L98" t="s">
        <v>33</v>
      </c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9"/>
      <c r="AC98" s="29"/>
    </row>
    <row r="99" spans="2:29" ht="29.1">
      <c r="B99" t="s">
        <v>302</v>
      </c>
      <c r="C99" t="s">
        <v>22</v>
      </c>
      <c r="D99" t="s">
        <v>263</v>
      </c>
      <c r="E99" t="s">
        <v>286</v>
      </c>
      <c r="F99" s="1" t="s">
        <v>303</v>
      </c>
      <c r="G99" t="s">
        <v>121</v>
      </c>
      <c r="H99" s="2" t="s">
        <v>301</v>
      </c>
      <c r="I99" t="s">
        <v>288</v>
      </c>
      <c r="J99" s="26">
        <v>46121</v>
      </c>
      <c r="K99" s="26">
        <v>46168</v>
      </c>
      <c r="L99" t="s">
        <v>33</v>
      </c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9"/>
      <c r="AC99" s="29"/>
    </row>
    <row r="100" spans="2:29" ht="14.45">
      <c r="B100" t="s">
        <v>304</v>
      </c>
      <c r="C100" t="s">
        <v>22</v>
      </c>
      <c r="D100" t="s">
        <v>263</v>
      </c>
      <c r="E100" t="s">
        <v>305</v>
      </c>
      <c r="F100" s="1" t="s">
        <v>306</v>
      </c>
      <c r="G100" t="s">
        <v>144</v>
      </c>
      <c r="H100" s="2" t="s">
        <v>275</v>
      </c>
      <c r="I100" t="s">
        <v>288</v>
      </c>
      <c r="J100" s="26">
        <v>46073</v>
      </c>
      <c r="K100" s="26">
        <v>46080</v>
      </c>
      <c r="L100" t="s">
        <v>29</v>
      </c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9"/>
      <c r="X100" s="20"/>
      <c r="Y100" s="20"/>
      <c r="Z100" s="20"/>
      <c r="AA100" s="20"/>
      <c r="AB100" s="20"/>
      <c r="AC100" s="20"/>
    </row>
    <row r="101" spans="2:29" ht="14.45">
      <c r="B101" t="s">
        <v>307</v>
      </c>
      <c r="C101" t="s">
        <v>22</v>
      </c>
      <c r="D101" t="s">
        <v>263</v>
      </c>
      <c r="E101" t="s">
        <v>305</v>
      </c>
      <c r="F101" s="1" t="s">
        <v>308</v>
      </c>
      <c r="G101" t="s">
        <v>144</v>
      </c>
      <c r="H101" s="2" t="s">
        <v>309</v>
      </c>
      <c r="I101" t="s">
        <v>288</v>
      </c>
      <c r="J101" s="26">
        <v>46073</v>
      </c>
      <c r="K101" s="26">
        <v>46080</v>
      </c>
      <c r="L101" t="s">
        <v>29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9"/>
      <c r="X101" s="29"/>
      <c r="Y101" s="20"/>
      <c r="Z101" s="20"/>
      <c r="AA101" s="20"/>
      <c r="AB101" s="20"/>
      <c r="AC101" s="20"/>
    </row>
    <row r="102" spans="2:29" ht="14.45">
      <c r="B102" t="s">
        <v>310</v>
      </c>
      <c r="C102" t="s">
        <v>22</v>
      </c>
      <c r="D102" t="s">
        <v>263</v>
      </c>
      <c r="E102" t="s">
        <v>305</v>
      </c>
      <c r="F102" s="1" t="s">
        <v>311</v>
      </c>
      <c r="G102" t="s">
        <v>144</v>
      </c>
      <c r="H102" s="2" t="s">
        <v>309</v>
      </c>
      <c r="I102" t="s">
        <v>28</v>
      </c>
      <c r="J102" s="26">
        <v>46073</v>
      </c>
      <c r="K102" s="26">
        <v>46080</v>
      </c>
      <c r="L102" t="s">
        <v>29</v>
      </c>
      <c r="M102" s="20"/>
      <c r="N102" s="20"/>
      <c r="O102" s="20"/>
      <c r="P102" s="20"/>
      <c r="Q102" s="29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2:29" ht="14.45">
      <c r="B103" t="s">
        <v>312</v>
      </c>
      <c r="C103" t="s">
        <v>22</v>
      </c>
      <c r="D103" t="s">
        <v>263</v>
      </c>
      <c r="E103" t="s">
        <v>305</v>
      </c>
      <c r="F103" s="1" t="s">
        <v>313</v>
      </c>
      <c r="G103" t="s">
        <v>144</v>
      </c>
      <c r="H103" s="2" t="s">
        <v>309</v>
      </c>
      <c r="I103" t="s">
        <v>28</v>
      </c>
      <c r="J103" s="26">
        <v>46073</v>
      </c>
      <c r="K103" s="26">
        <v>46080</v>
      </c>
      <c r="L103" t="s">
        <v>235</v>
      </c>
      <c r="M103" s="20"/>
      <c r="N103" s="20"/>
      <c r="O103" s="20"/>
      <c r="P103" s="20"/>
      <c r="Q103" s="29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2:29" ht="14.45">
      <c r="B104" t="s">
        <v>314</v>
      </c>
      <c r="C104" t="s">
        <v>22</v>
      </c>
      <c r="D104" t="s">
        <v>263</v>
      </c>
      <c r="E104" t="s">
        <v>305</v>
      </c>
      <c r="F104" s="1" t="s">
        <v>315</v>
      </c>
      <c r="G104" t="s">
        <v>144</v>
      </c>
      <c r="H104" s="2" t="s">
        <v>309</v>
      </c>
      <c r="I104" t="s">
        <v>28</v>
      </c>
      <c r="J104" s="26">
        <v>46073</v>
      </c>
      <c r="K104" s="26">
        <v>46080</v>
      </c>
      <c r="L104" t="s">
        <v>29</v>
      </c>
      <c r="M104" s="20"/>
      <c r="N104" s="20"/>
      <c r="O104" s="20"/>
      <c r="P104" s="20"/>
      <c r="Q104" s="29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2:29" ht="14.45">
      <c r="B105" t="s">
        <v>316</v>
      </c>
      <c r="C105" t="s">
        <v>22</v>
      </c>
      <c r="D105" t="s">
        <v>263</v>
      </c>
      <c r="E105" t="s">
        <v>305</v>
      </c>
      <c r="F105" s="1" t="s">
        <v>317</v>
      </c>
      <c r="G105" t="s">
        <v>144</v>
      </c>
      <c r="H105" s="2" t="s">
        <v>309</v>
      </c>
      <c r="I105" t="s">
        <v>288</v>
      </c>
      <c r="J105" s="26">
        <v>46073</v>
      </c>
      <c r="K105" s="26">
        <v>46080</v>
      </c>
      <c r="L105" t="s">
        <v>29</v>
      </c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9"/>
      <c r="Z105" s="29"/>
      <c r="AA105" s="20"/>
      <c r="AB105" s="20"/>
      <c r="AC105" s="20"/>
    </row>
    <row r="106" spans="2:29" ht="14.45">
      <c r="B106" t="s">
        <v>318</v>
      </c>
      <c r="C106" t="s">
        <v>22</v>
      </c>
      <c r="D106" t="s">
        <v>263</v>
      </c>
      <c r="E106" t="s">
        <v>305</v>
      </c>
      <c r="F106" s="1" t="s">
        <v>319</v>
      </c>
      <c r="G106" t="s">
        <v>144</v>
      </c>
      <c r="H106" s="2" t="s">
        <v>309</v>
      </c>
      <c r="I106" t="s">
        <v>288</v>
      </c>
      <c r="J106" s="26">
        <v>46073</v>
      </c>
      <c r="K106" s="26">
        <v>46080</v>
      </c>
      <c r="L106" t="s">
        <v>29</v>
      </c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9"/>
      <c r="X106" s="29"/>
      <c r="Y106" s="20"/>
      <c r="Z106" s="20"/>
      <c r="AA106" s="20"/>
      <c r="AB106" s="20"/>
      <c r="AC106" s="20"/>
    </row>
    <row r="107" spans="2:29" ht="14.45">
      <c r="B107" t="s">
        <v>320</v>
      </c>
      <c r="C107" t="s">
        <v>22</v>
      </c>
      <c r="D107" t="s">
        <v>263</v>
      </c>
      <c r="E107" t="s">
        <v>321</v>
      </c>
      <c r="F107" s="1" t="s">
        <v>322</v>
      </c>
      <c r="G107" t="s">
        <v>51</v>
      </c>
      <c r="H107" s="2" t="s">
        <v>309</v>
      </c>
      <c r="I107" t="s">
        <v>28</v>
      </c>
      <c r="J107" s="26">
        <v>46125</v>
      </c>
      <c r="K107" s="26">
        <v>46129</v>
      </c>
      <c r="L107" t="s">
        <v>29</v>
      </c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9"/>
      <c r="X107" s="29"/>
      <c r="Y107" s="20"/>
      <c r="Z107" s="20"/>
      <c r="AA107" s="20"/>
      <c r="AB107" s="20"/>
      <c r="AC107" s="20"/>
    </row>
    <row r="108" spans="2:29" ht="14.45">
      <c r="B108" t="s">
        <v>323</v>
      </c>
      <c r="C108" t="s">
        <v>22</v>
      </c>
      <c r="D108" t="s">
        <v>263</v>
      </c>
      <c r="E108" t="s">
        <v>321</v>
      </c>
      <c r="F108" s="1" t="s">
        <v>324</v>
      </c>
      <c r="G108" t="s">
        <v>144</v>
      </c>
      <c r="H108" s="2" t="s">
        <v>309</v>
      </c>
      <c r="I108" t="s">
        <v>267</v>
      </c>
      <c r="J108" s="26">
        <v>46125</v>
      </c>
      <c r="K108" s="26">
        <v>46129</v>
      </c>
      <c r="L108" t="s">
        <v>29</v>
      </c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9"/>
      <c r="X108" s="29"/>
      <c r="Y108" s="20"/>
      <c r="Z108" s="20"/>
      <c r="AA108" s="20"/>
      <c r="AB108" s="20"/>
      <c r="AC108" s="20"/>
    </row>
    <row r="109" spans="2:29" ht="14.45">
      <c r="B109" t="s">
        <v>325</v>
      </c>
      <c r="C109" t="s">
        <v>22</v>
      </c>
      <c r="D109" t="s">
        <v>263</v>
      </c>
      <c r="E109" t="s">
        <v>321</v>
      </c>
      <c r="F109" s="1" t="s">
        <v>326</v>
      </c>
      <c r="G109" t="s">
        <v>37</v>
      </c>
      <c r="H109" s="2" t="s">
        <v>309</v>
      </c>
      <c r="I109" t="s">
        <v>288</v>
      </c>
      <c r="J109" s="26">
        <v>46100</v>
      </c>
      <c r="K109" s="26">
        <v>46107</v>
      </c>
      <c r="L109" t="s">
        <v>29</v>
      </c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9"/>
      <c r="Z109" s="20"/>
      <c r="AA109" s="20"/>
      <c r="AB109" s="20"/>
      <c r="AC109" s="20"/>
    </row>
    <row r="110" spans="2:29" ht="14.45">
      <c r="B110" t="s">
        <v>327</v>
      </c>
      <c r="C110" t="s">
        <v>22</v>
      </c>
      <c r="D110" t="s">
        <v>263</v>
      </c>
      <c r="E110" t="s">
        <v>321</v>
      </c>
      <c r="F110" s="1" t="s">
        <v>328</v>
      </c>
      <c r="G110" t="s">
        <v>37</v>
      </c>
      <c r="H110" s="2" t="s">
        <v>326</v>
      </c>
      <c r="I110" t="s">
        <v>288</v>
      </c>
      <c r="J110" s="26">
        <v>46100</v>
      </c>
      <c r="K110" s="26">
        <v>46107</v>
      </c>
      <c r="L110" t="s">
        <v>29</v>
      </c>
      <c r="M110" s="20"/>
      <c r="N110" s="20"/>
      <c r="O110" s="20"/>
      <c r="P110" s="20"/>
      <c r="Q110" s="20"/>
      <c r="R110" s="20"/>
      <c r="S110" s="20"/>
      <c r="T110" s="29"/>
      <c r="U110" s="29"/>
      <c r="V110" s="29"/>
      <c r="W110" s="20"/>
      <c r="X110" s="20"/>
      <c r="Y110" s="20"/>
      <c r="Z110" s="20"/>
      <c r="AA110" s="20"/>
      <c r="AB110" s="20"/>
      <c r="AC110" s="20"/>
    </row>
    <row r="111" spans="2:29" ht="14.45">
      <c r="B111" t="s">
        <v>329</v>
      </c>
      <c r="C111" t="s">
        <v>22</v>
      </c>
      <c r="D111" t="s">
        <v>263</v>
      </c>
      <c r="E111" t="s">
        <v>321</v>
      </c>
      <c r="F111" s="1" t="s">
        <v>330</v>
      </c>
      <c r="G111" t="s">
        <v>51</v>
      </c>
      <c r="H111" s="2" t="s">
        <v>291</v>
      </c>
      <c r="I111" t="s">
        <v>331</v>
      </c>
      <c r="J111" s="26">
        <v>46118</v>
      </c>
      <c r="K111" s="26">
        <v>46168</v>
      </c>
      <c r="L111" t="s">
        <v>332</v>
      </c>
      <c r="M111" s="20"/>
      <c r="N111" s="20"/>
      <c r="O111" s="20"/>
      <c r="P111" s="20"/>
      <c r="Q111" s="20"/>
      <c r="R111" s="20"/>
      <c r="S111" s="20"/>
      <c r="T111" s="29"/>
      <c r="U111" s="29"/>
      <c r="V111" s="29"/>
      <c r="W111" s="20"/>
      <c r="X111" s="20"/>
      <c r="Y111" s="20"/>
      <c r="Z111" s="20"/>
      <c r="AA111" s="20"/>
      <c r="AB111" s="20"/>
      <c r="AC111" s="20"/>
    </row>
    <row r="112" spans="2:29" ht="29.1">
      <c r="B112" t="s">
        <v>333</v>
      </c>
      <c r="C112" t="s">
        <v>22</v>
      </c>
      <c r="D112" t="s">
        <v>263</v>
      </c>
      <c r="E112" t="s">
        <v>321</v>
      </c>
      <c r="F112" s="1" t="s">
        <v>334</v>
      </c>
      <c r="G112" t="s">
        <v>121</v>
      </c>
      <c r="H112" s="2" t="s">
        <v>291</v>
      </c>
      <c r="I112" t="s">
        <v>288</v>
      </c>
      <c r="J112" s="26">
        <v>46100</v>
      </c>
      <c r="K112" s="26">
        <v>46107</v>
      </c>
      <c r="L112" t="s">
        <v>29</v>
      </c>
      <c r="M112" s="20"/>
      <c r="N112" s="20"/>
      <c r="O112" s="20"/>
      <c r="P112" s="20"/>
      <c r="Q112" s="20"/>
      <c r="R112" s="20"/>
      <c r="S112" s="20"/>
      <c r="T112" s="20"/>
      <c r="U112" s="20"/>
      <c r="V112" s="29"/>
      <c r="W112" s="29"/>
      <c r="X112" s="20"/>
      <c r="Y112" s="20"/>
      <c r="Z112" s="20"/>
      <c r="AA112" s="20"/>
      <c r="AB112" s="20"/>
      <c r="AC112" s="20"/>
    </row>
    <row r="113" spans="2:29" ht="14.45">
      <c r="B113" t="s">
        <v>335</v>
      </c>
      <c r="C113" t="s">
        <v>22</v>
      </c>
      <c r="D113" t="s">
        <v>263</v>
      </c>
      <c r="E113" t="s">
        <v>336</v>
      </c>
      <c r="F113" s="1" t="s">
        <v>337</v>
      </c>
      <c r="G113" t="s">
        <v>144</v>
      </c>
      <c r="H113" s="2" t="s">
        <v>338</v>
      </c>
      <c r="I113" t="s">
        <v>28</v>
      </c>
      <c r="J113" s="26">
        <v>46125</v>
      </c>
      <c r="K113" s="26">
        <v>46127</v>
      </c>
      <c r="L113" t="s">
        <v>29</v>
      </c>
      <c r="M113" s="20"/>
      <c r="N113" s="20"/>
      <c r="O113" s="20"/>
      <c r="P113" s="20"/>
      <c r="Q113" s="20"/>
      <c r="R113" s="29"/>
      <c r="S113" s="29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2:29" ht="14.45">
      <c r="B114" t="s">
        <v>339</v>
      </c>
      <c r="C114" t="s">
        <v>22</v>
      </c>
      <c r="D114" t="s">
        <v>263</v>
      </c>
      <c r="E114" t="s">
        <v>336</v>
      </c>
      <c r="F114" s="1" t="s">
        <v>340</v>
      </c>
      <c r="G114" t="s">
        <v>144</v>
      </c>
      <c r="H114" s="2" t="s">
        <v>341</v>
      </c>
      <c r="I114" t="s">
        <v>28</v>
      </c>
      <c r="J114" s="26">
        <v>46125</v>
      </c>
      <c r="K114" s="26">
        <v>46128</v>
      </c>
      <c r="L114" t="s">
        <v>29</v>
      </c>
      <c r="M114" s="20"/>
      <c r="N114" s="20"/>
      <c r="O114" s="20"/>
      <c r="P114" s="20"/>
      <c r="Q114" s="20"/>
      <c r="R114" s="20"/>
      <c r="S114" s="20"/>
      <c r="T114" s="20"/>
      <c r="U114" s="29"/>
      <c r="V114" s="29"/>
      <c r="W114" s="20"/>
      <c r="X114" s="20"/>
      <c r="Y114" s="20"/>
      <c r="Z114" s="20"/>
      <c r="AA114" s="20"/>
      <c r="AB114" s="20"/>
      <c r="AC114" s="20"/>
    </row>
    <row r="115" spans="2:29" ht="14.45">
      <c r="B115" t="s">
        <v>342</v>
      </c>
      <c r="C115" t="s">
        <v>22</v>
      </c>
      <c r="D115" t="s">
        <v>263</v>
      </c>
      <c r="E115" t="s">
        <v>336</v>
      </c>
      <c r="F115" s="1" t="s">
        <v>343</v>
      </c>
      <c r="G115" t="s">
        <v>144</v>
      </c>
      <c r="H115" s="2" t="s">
        <v>344</v>
      </c>
      <c r="I115" t="s">
        <v>28</v>
      </c>
      <c r="J115" s="26">
        <v>46118</v>
      </c>
      <c r="K115" s="26">
        <v>46121</v>
      </c>
      <c r="L115" t="s">
        <v>29</v>
      </c>
      <c r="M115" s="20"/>
      <c r="N115" s="20"/>
      <c r="O115" s="20"/>
      <c r="P115" s="20"/>
      <c r="Q115" s="20"/>
      <c r="R115" s="20"/>
      <c r="S115" s="20"/>
      <c r="T115" s="20"/>
      <c r="U115" s="29"/>
      <c r="V115" s="20"/>
      <c r="W115" s="20"/>
      <c r="X115" s="20"/>
      <c r="Y115" s="20"/>
      <c r="Z115" s="20"/>
      <c r="AA115" s="20"/>
      <c r="AB115" s="20"/>
      <c r="AC115" s="20"/>
    </row>
    <row r="116" spans="2:29" ht="14.45">
      <c r="B116" t="s">
        <v>345</v>
      </c>
      <c r="C116" t="s">
        <v>22</v>
      </c>
      <c r="D116" t="s">
        <v>263</v>
      </c>
      <c r="E116" t="s">
        <v>336</v>
      </c>
      <c r="F116" s="1" t="s">
        <v>346</v>
      </c>
      <c r="G116" t="s">
        <v>144</v>
      </c>
      <c r="H116" s="2" t="s">
        <v>347</v>
      </c>
      <c r="I116" t="s">
        <v>331</v>
      </c>
      <c r="J116" s="26">
        <v>46083</v>
      </c>
      <c r="K116" s="26">
        <v>46086</v>
      </c>
      <c r="L116" t="s">
        <v>29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9"/>
      <c r="W116" s="20"/>
      <c r="X116" s="20"/>
      <c r="Y116" s="20"/>
      <c r="Z116" s="20"/>
      <c r="AA116" s="20"/>
      <c r="AB116" s="20"/>
      <c r="AC116" s="20"/>
    </row>
    <row r="117" spans="2:29" ht="14.45">
      <c r="B117" t="s">
        <v>348</v>
      </c>
      <c r="C117" t="s">
        <v>22</v>
      </c>
      <c r="D117" t="s">
        <v>263</v>
      </c>
      <c r="E117" t="s">
        <v>336</v>
      </c>
      <c r="F117" s="1" t="s">
        <v>349</v>
      </c>
      <c r="G117" t="s">
        <v>144</v>
      </c>
      <c r="H117" s="2" t="s">
        <v>350</v>
      </c>
      <c r="I117" t="s">
        <v>28</v>
      </c>
      <c r="J117" s="26">
        <v>46132</v>
      </c>
      <c r="K117" s="26">
        <v>46121</v>
      </c>
      <c r="L117" t="s">
        <v>29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9"/>
      <c r="X117" s="29"/>
      <c r="Y117" s="20"/>
      <c r="Z117" s="20"/>
      <c r="AA117" s="20"/>
      <c r="AB117" s="20"/>
      <c r="AC117" s="20"/>
    </row>
    <row r="118" spans="2:29" ht="14.45">
      <c r="B118" t="s">
        <v>351</v>
      </c>
      <c r="C118" t="s">
        <v>22</v>
      </c>
      <c r="D118" t="s">
        <v>263</v>
      </c>
      <c r="E118" t="s">
        <v>336</v>
      </c>
      <c r="F118" s="1" t="s">
        <v>352</v>
      </c>
      <c r="G118" t="s">
        <v>144</v>
      </c>
      <c r="H118" s="2" t="s">
        <v>353</v>
      </c>
      <c r="I118" t="s">
        <v>28</v>
      </c>
      <c r="J118" s="26">
        <v>46132</v>
      </c>
      <c r="K118" s="26">
        <v>46135</v>
      </c>
      <c r="L118" t="s">
        <v>235</v>
      </c>
      <c r="M118" s="20"/>
      <c r="N118" s="20"/>
      <c r="O118" s="20"/>
      <c r="P118" s="20"/>
      <c r="Q118" s="20"/>
      <c r="R118" s="20"/>
      <c r="S118" s="20"/>
      <c r="T118" s="20"/>
      <c r="U118" s="20"/>
      <c r="V118" s="29"/>
      <c r="W118" s="29"/>
      <c r="X118" s="20"/>
      <c r="Y118" s="20"/>
      <c r="Z118" s="20"/>
      <c r="AA118" s="20"/>
      <c r="AB118" s="20"/>
      <c r="AC118" s="20"/>
    </row>
    <row r="119" spans="2:29" ht="14.45">
      <c r="B119" t="s">
        <v>354</v>
      </c>
      <c r="C119" t="s">
        <v>22</v>
      </c>
      <c r="D119" t="s">
        <v>263</v>
      </c>
      <c r="E119" t="s">
        <v>355</v>
      </c>
      <c r="F119" s="1" t="s">
        <v>356</v>
      </c>
      <c r="G119" t="s">
        <v>144</v>
      </c>
      <c r="H119" s="2" t="s">
        <v>357</v>
      </c>
      <c r="I119" t="s">
        <v>28</v>
      </c>
      <c r="J119" s="26">
        <v>46111</v>
      </c>
      <c r="K119" s="26">
        <v>46114</v>
      </c>
      <c r="L119" t="s">
        <v>235</v>
      </c>
      <c r="M119" s="20"/>
      <c r="N119" s="20"/>
      <c r="O119" s="20"/>
      <c r="P119" s="20"/>
      <c r="Q119" s="20"/>
      <c r="R119" s="20"/>
      <c r="S119" s="20"/>
      <c r="T119" s="20"/>
      <c r="U119" s="29"/>
      <c r="V119" s="20"/>
      <c r="W119" s="20"/>
      <c r="X119" s="20"/>
      <c r="Y119" s="20"/>
      <c r="Z119" s="20"/>
      <c r="AA119" s="20"/>
      <c r="AB119" s="20"/>
      <c r="AC119" s="20"/>
    </row>
    <row r="120" spans="2:29" ht="14.45">
      <c r="B120" t="s">
        <v>358</v>
      </c>
      <c r="C120" t="s">
        <v>22</v>
      </c>
      <c r="D120" t="s">
        <v>263</v>
      </c>
      <c r="E120" t="s">
        <v>355</v>
      </c>
      <c r="F120" s="1" t="s">
        <v>359</v>
      </c>
      <c r="G120" t="s">
        <v>144</v>
      </c>
      <c r="H120" s="2" t="s">
        <v>357</v>
      </c>
      <c r="I120" t="s">
        <v>276</v>
      </c>
      <c r="J120" s="37">
        <v>46107</v>
      </c>
      <c r="K120" s="26">
        <v>46121</v>
      </c>
      <c r="L120" t="s">
        <v>235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9"/>
      <c r="X120" s="20"/>
      <c r="Y120" s="20"/>
      <c r="Z120" s="20"/>
      <c r="AA120" s="20"/>
      <c r="AB120" s="20"/>
      <c r="AC120" s="20"/>
    </row>
    <row r="121" spans="2:29" ht="14.45">
      <c r="B121" t="s">
        <v>360</v>
      </c>
      <c r="C121" t="s">
        <v>22</v>
      </c>
      <c r="D121" t="s">
        <v>263</v>
      </c>
      <c r="E121" t="s">
        <v>355</v>
      </c>
      <c r="F121" s="1" t="s">
        <v>361</v>
      </c>
      <c r="G121" t="s">
        <v>144</v>
      </c>
      <c r="H121" s="2" t="s">
        <v>357</v>
      </c>
      <c r="I121" t="s">
        <v>276</v>
      </c>
      <c r="J121" s="37">
        <v>46107</v>
      </c>
      <c r="K121" s="26">
        <v>46121</v>
      </c>
      <c r="L121" t="s">
        <v>235</v>
      </c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9"/>
      <c r="X121" s="20"/>
      <c r="Y121" s="20"/>
      <c r="Z121" s="20"/>
      <c r="AA121" s="20"/>
      <c r="AB121" s="20"/>
      <c r="AC121" s="20"/>
    </row>
    <row r="122" spans="2:29" ht="14.45">
      <c r="B122" t="s">
        <v>362</v>
      </c>
      <c r="C122" t="s">
        <v>22</v>
      </c>
      <c r="D122" t="s">
        <v>263</v>
      </c>
      <c r="E122" t="s">
        <v>260</v>
      </c>
      <c r="F122" s="1" t="s">
        <v>363</v>
      </c>
      <c r="G122" t="s">
        <v>26</v>
      </c>
      <c r="H122" s="2" t="s">
        <v>364</v>
      </c>
      <c r="I122" t="s">
        <v>365</v>
      </c>
      <c r="J122" s="26">
        <v>46090</v>
      </c>
      <c r="K122" s="26">
        <v>46100</v>
      </c>
      <c r="L122" t="s">
        <v>29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9"/>
      <c r="X122" s="29"/>
      <c r="Y122" s="20"/>
      <c r="Z122" s="20"/>
      <c r="AA122" s="20"/>
      <c r="AB122" s="20"/>
      <c r="AC122" s="20"/>
    </row>
    <row r="123" spans="2:29" ht="14.45">
      <c r="B123" t="s">
        <v>366</v>
      </c>
      <c r="C123" t="s">
        <v>22</v>
      </c>
      <c r="D123" t="s">
        <v>263</v>
      </c>
      <c r="E123" t="s">
        <v>260</v>
      </c>
      <c r="F123" s="1" t="s">
        <v>367</v>
      </c>
      <c r="G123" t="s">
        <v>26</v>
      </c>
      <c r="H123" s="2" t="s">
        <v>368</v>
      </c>
      <c r="I123" t="s">
        <v>298</v>
      </c>
      <c r="J123" s="26">
        <v>46090</v>
      </c>
      <c r="K123" s="26">
        <v>46100</v>
      </c>
      <c r="L123" t="s">
        <v>29</v>
      </c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9"/>
      <c r="Y123" s="20"/>
      <c r="Z123" s="20"/>
      <c r="AA123" s="20"/>
      <c r="AB123" s="20"/>
      <c r="AC123" s="20"/>
    </row>
    <row r="124" spans="2:29" ht="14.45">
      <c r="B124" t="s">
        <v>369</v>
      </c>
      <c r="C124" t="s">
        <v>22</v>
      </c>
      <c r="D124" t="s">
        <v>263</v>
      </c>
      <c r="E124" t="s">
        <v>260</v>
      </c>
      <c r="F124" s="1" t="s">
        <v>370</v>
      </c>
      <c r="G124" t="s">
        <v>26</v>
      </c>
      <c r="H124" s="2" t="s">
        <v>368</v>
      </c>
      <c r="I124" t="s">
        <v>280</v>
      </c>
      <c r="J124" s="26">
        <v>46090</v>
      </c>
      <c r="K124" s="26">
        <v>46116</v>
      </c>
      <c r="L124" t="s">
        <v>29</v>
      </c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9"/>
      <c r="Y124" s="20"/>
      <c r="Z124" s="20"/>
      <c r="AA124" s="20"/>
      <c r="AB124" s="20"/>
      <c r="AC124" s="20"/>
    </row>
    <row r="125" spans="2:29" ht="14.45">
      <c r="B125" t="s">
        <v>371</v>
      </c>
      <c r="C125" t="s">
        <v>22</v>
      </c>
      <c r="D125" t="s">
        <v>263</v>
      </c>
      <c r="E125" t="s">
        <v>260</v>
      </c>
      <c r="F125" s="1" t="s">
        <v>372</v>
      </c>
      <c r="G125" t="s">
        <v>51</v>
      </c>
      <c r="H125" s="2" t="s">
        <v>373</v>
      </c>
      <c r="I125" t="s">
        <v>276</v>
      </c>
      <c r="J125" s="26">
        <v>46118</v>
      </c>
      <c r="K125" s="26">
        <v>46163</v>
      </c>
      <c r="L125" t="s">
        <v>29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9"/>
      <c r="Z125" s="20"/>
      <c r="AA125" s="20"/>
      <c r="AB125" s="20"/>
      <c r="AC125" s="20"/>
    </row>
    <row r="126" spans="2:29" ht="14.45">
      <c r="B126" t="s">
        <v>374</v>
      </c>
      <c r="C126" t="s">
        <v>22</v>
      </c>
      <c r="D126" t="s">
        <v>263</v>
      </c>
      <c r="E126" t="s">
        <v>260</v>
      </c>
      <c r="F126" s="1" t="s">
        <v>375</v>
      </c>
      <c r="G126" t="s">
        <v>26</v>
      </c>
      <c r="H126" s="2" t="s">
        <v>376</v>
      </c>
      <c r="I126" t="s">
        <v>276</v>
      </c>
      <c r="J126" s="26">
        <v>46090</v>
      </c>
      <c r="K126" s="26">
        <v>46100</v>
      </c>
      <c r="L126" t="s">
        <v>235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9"/>
      <c r="W126" s="20"/>
      <c r="X126" s="20"/>
      <c r="Y126" s="20"/>
      <c r="Z126" s="20"/>
      <c r="AA126" s="20"/>
      <c r="AB126" s="20"/>
      <c r="AC126" s="20"/>
    </row>
    <row r="127" spans="2:29" ht="14.45">
      <c r="B127" t="s">
        <v>377</v>
      </c>
      <c r="C127" t="s">
        <v>22</v>
      </c>
      <c r="D127" t="s">
        <v>263</v>
      </c>
      <c r="E127" t="s">
        <v>260</v>
      </c>
      <c r="F127" s="1" t="s">
        <v>378</v>
      </c>
      <c r="G127" t="s">
        <v>26</v>
      </c>
      <c r="H127" s="2" t="s">
        <v>379</v>
      </c>
      <c r="I127" t="s">
        <v>298</v>
      </c>
      <c r="J127" s="26">
        <v>46090</v>
      </c>
      <c r="K127" s="26">
        <v>46100</v>
      </c>
      <c r="L127" t="s">
        <v>29</v>
      </c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9"/>
      <c r="Z127" s="20"/>
      <c r="AA127" s="20"/>
      <c r="AB127" s="20"/>
      <c r="AC127" s="20"/>
    </row>
    <row r="128" spans="2:29" ht="14.45">
      <c r="B128" t="s">
        <v>377</v>
      </c>
      <c r="C128" t="s">
        <v>22</v>
      </c>
      <c r="D128" t="s">
        <v>263</v>
      </c>
      <c r="E128" t="s">
        <v>260</v>
      </c>
      <c r="F128" s="1" t="s">
        <v>380</v>
      </c>
      <c r="G128" t="s">
        <v>26</v>
      </c>
      <c r="H128" s="2" t="s">
        <v>379</v>
      </c>
      <c r="I128" t="s">
        <v>298</v>
      </c>
      <c r="J128" s="26">
        <v>46090</v>
      </c>
      <c r="K128" s="26">
        <v>46100</v>
      </c>
      <c r="L128" t="s">
        <v>29</v>
      </c>
      <c r="M128" s="20"/>
      <c r="N128" s="20"/>
      <c r="O128" s="20"/>
      <c r="P128" s="20"/>
      <c r="Q128" s="20"/>
      <c r="R128" s="20"/>
      <c r="S128" s="20"/>
      <c r="T128" s="20"/>
      <c r="U128" s="20"/>
      <c r="V128" s="29"/>
      <c r="W128" s="29"/>
      <c r="X128" s="20"/>
      <c r="Y128" s="20"/>
      <c r="Z128" s="20"/>
      <c r="AA128" s="20"/>
      <c r="AB128" s="20"/>
      <c r="AC128" s="20"/>
    </row>
    <row r="129" spans="2:31" ht="14.45">
      <c r="B129" t="s">
        <v>381</v>
      </c>
      <c r="C129" t="s">
        <v>22</v>
      </c>
      <c r="D129" t="s">
        <v>263</v>
      </c>
      <c r="E129" t="s">
        <v>260</v>
      </c>
      <c r="F129" s="1" t="s">
        <v>382</v>
      </c>
      <c r="G129" t="s">
        <v>51</v>
      </c>
      <c r="H129" s="2" t="s">
        <v>368</v>
      </c>
      <c r="I129" t="s">
        <v>151</v>
      </c>
      <c r="J129" s="26">
        <v>46062</v>
      </c>
      <c r="K129" s="26">
        <v>46149</v>
      </c>
      <c r="L129" t="s">
        <v>29</v>
      </c>
      <c r="M129" s="20"/>
      <c r="N129" s="20"/>
      <c r="O129" s="20"/>
      <c r="P129" s="20"/>
      <c r="Q129" s="20"/>
      <c r="R129" s="20"/>
      <c r="S129" s="20"/>
      <c r="T129" s="29"/>
      <c r="U129" s="29"/>
      <c r="V129" s="29"/>
      <c r="W129" s="20"/>
      <c r="X129" s="20"/>
      <c r="Y129" s="20"/>
      <c r="Z129" s="20"/>
      <c r="AA129" s="20"/>
      <c r="AB129" s="20"/>
      <c r="AC129" s="20"/>
    </row>
    <row r="130" spans="2:31" ht="14.45">
      <c r="B130" t="s">
        <v>383</v>
      </c>
      <c r="C130" t="s">
        <v>22</v>
      </c>
      <c r="D130" t="s">
        <v>263</v>
      </c>
      <c r="E130" t="s">
        <v>283</v>
      </c>
      <c r="F130" s="1" t="s">
        <v>384</v>
      </c>
      <c r="G130" t="s">
        <v>144</v>
      </c>
      <c r="H130" s="2" t="s">
        <v>353</v>
      </c>
      <c r="I130" t="s">
        <v>267</v>
      </c>
      <c r="J130" s="26">
        <v>46114</v>
      </c>
      <c r="K130" s="26">
        <v>46121</v>
      </c>
      <c r="L130" t="s">
        <v>29</v>
      </c>
      <c r="M130" s="20"/>
      <c r="N130" s="20"/>
      <c r="O130" s="20"/>
      <c r="P130" s="20"/>
      <c r="Q130" s="20"/>
      <c r="R130" s="20"/>
      <c r="S130" s="20"/>
      <c r="T130" s="29"/>
      <c r="U130" s="29"/>
      <c r="V130" s="29"/>
      <c r="W130" s="20"/>
      <c r="X130" s="20"/>
      <c r="Y130" s="20"/>
      <c r="Z130" s="20"/>
      <c r="AA130" s="20"/>
      <c r="AB130" s="20"/>
      <c r="AC130" s="20"/>
    </row>
    <row r="131" spans="2:31" ht="14.45">
      <c r="B131" t="s">
        <v>385</v>
      </c>
      <c r="C131" t="s">
        <v>22</v>
      </c>
      <c r="D131" t="s">
        <v>263</v>
      </c>
      <c r="E131" t="s">
        <v>283</v>
      </c>
      <c r="F131" s="1" t="s">
        <v>386</v>
      </c>
      <c r="G131" t="s">
        <v>32</v>
      </c>
      <c r="H131" s="2" t="s">
        <v>387</v>
      </c>
      <c r="I131" t="s">
        <v>288</v>
      </c>
      <c r="J131" s="26">
        <v>46107</v>
      </c>
      <c r="K131" s="26">
        <v>46121</v>
      </c>
      <c r="L131" t="s">
        <v>29</v>
      </c>
      <c r="M131" s="20"/>
      <c r="N131" s="20"/>
      <c r="O131" s="20"/>
      <c r="P131" s="20"/>
      <c r="Q131" s="20"/>
      <c r="R131" s="20"/>
      <c r="S131" s="20"/>
      <c r="T131" s="29"/>
      <c r="U131" s="29"/>
      <c r="V131" s="29"/>
      <c r="W131" s="20"/>
      <c r="X131" s="20"/>
      <c r="Y131" s="20"/>
      <c r="Z131" s="20"/>
      <c r="AA131" s="20"/>
      <c r="AB131" s="20"/>
      <c r="AC131" s="20"/>
      <c r="AD131" s="38"/>
      <c r="AE131" s="38"/>
    </row>
    <row r="132" spans="2:31" ht="14.45">
      <c r="B132" t="s">
        <v>388</v>
      </c>
      <c r="C132" t="s">
        <v>22</v>
      </c>
      <c r="D132" t="s">
        <v>263</v>
      </c>
      <c r="E132" t="s">
        <v>283</v>
      </c>
      <c r="F132" s="1" t="s">
        <v>389</v>
      </c>
      <c r="G132" t="s">
        <v>32</v>
      </c>
      <c r="H132" s="2" t="s">
        <v>368</v>
      </c>
      <c r="I132" t="s">
        <v>28</v>
      </c>
      <c r="J132" s="26">
        <v>46107</v>
      </c>
      <c r="K132" s="26">
        <v>46121</v>
      </c>
      <c r="L132" t="s">
        <v>29</v>
      </c>
      <c r="M132" s="20"/>
      <c r="N132" s="20"/>
      <c r="O132" s="20"/>
      <c r="P132" s="20"/>
      <c r="Q132" s="20"/>
      <c r="R132" s="20"/>
      <c r="S132" s="20"/>
      <c r="T132" s="20"/>
      <c r="U132" s="20"/>
      <c r="V132" s="29"/>
      <c r="W132" s="29"/>
      <c r="X132" s="20"/>
      <c r="Y132" s="20"/>
      <c r="Z132" s="20"/>
      <c r="AA132" s="20"/>
      <c r="AB132" s="20"/>
      <c r="AC132" s="20"/>
    </row>
    <row r="133" spans="2:31" ht="14.45">
      <c r="B133" t="s">
        <v>390</v>
      </c>
      <c r="C133" t="s">
        <v>22</v>
      </c>
      <c r="D133" t="s">
        <v>263</v>
      </c>
      <c r="E133" t="s">
        <v>283</v>
      </c>
      <c r="F133" s="1" t="s">
        <v>391</v>
      </c>
      <c r="G133" t="s">
        <v>32</v>
      </c>
      <c r="H133" s="2" t="s">
        <v>392</v>
      </c>
      <c r="I133" t="s">
        <v>28</v>
      </c>
      <c r="J133" s="26">
        <v>46107</v>
      </c>
      <c r="K133" s="26">
        <v>46121</v>
      </c>
      <c r="L133" t="s">
        <v>29</v>
      </c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9"/>
      <c r="X133" s="20"/>
      <c r="Y133" s="20"/>
      <c r="Z133" s="20"/>
      <c r="AA133" s="20"/>
      <c r="AB133" s="20"/>
      <c r="AC133" s="20"/>
    </row>
    <row r="134" spans="2:31" ht="14.45">
      <c r="B134" t="s">
        <v>393</v>
      </c>
      <c r="C134" t="s">
        <v>22</v>
      </c>
      <c r="D134" t="s">
        <v>263</v>
      </c>
      <c r="E134" t="s">
        <v>283</v>
      </c>
      <c r="F134" s="1" t="s">
        <v>394</v>
      </c>
      <c r="G134" t="s">
        <v>32</v>
      </c>
      <c r="H134" s="2" t="s">
        <v>368</v>
      </c>
      <c r="I134" t="s">
        <v>28</v>
      </c>
      <c r="J134" s="26">
        <v>46107</v>
      </c>
      <c r="K134" s="26">
        <v>46121</v>
      </c>
      <c r="L134" t="s">
        <v>29</v>
      </c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9"/>
      <c r="X134" s="29"/>
      <c r="Y134" s="20"/>
      <c r="Z134" s="20"/>
      <c r="AA134" s="20"/>
      <c r="AB134" s="20"/>
      <c r="AC134" s="20"/>
    </row>
    <row r="135" spans="2:31" ht="14.45">
      <c r="B135" t="s">
        <v>395</v>
      </c>
      <c r="C135" t="s">
        <v>22</v>
      </c>
      <c r="D135" t="s">
        <v>263</v>
      </c>
      <c r="E135" t="s">
        <v>283</v>
      </c>
      <c r="F135" s="1" t="s">
        <v>396</v>
      </c>
      <c r="G135" t="s">
        <v>32</v>
      </c>
      <c r="H135" s="2" t="s">
        <v>397</v>
      </c>
      <c r="I135" t="s">
        <v>398</v>
      </c>
      <c r="J135" s="26">
        <v>46107</v>
      </c>
      <c r="K135" s="26">
        <v>46121</v>
      </c>
      <c r="L135" t="s">
        <v>29</v>
      </c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9"/>
      <c r="X135" s="29"/>
      <c r="Y135" s="20"/>
      <c r="Z135" s="20"/>
      <c r="AA135" s="20"/>
      <c r="AB135" s="20"/>
      <c r="AC135" s="20"/>
    </row>
    <row r="136" spans="2:31" ht="14.45">
      <c r="B136" t="s">
        <v>399</v>
      </c>
      <c r="C136" t="s">
        <v>22</v>
      </c>
      <c r="D136" t="s">
        <v>263</v>
      </c>
      <c r="E136" t="s">
        <v>283</v>
      </c>
      <c r="F136" s="1" t="s">
        <v>400</v>
      </c>
      <c r="G136" t="s">
        <v>32</v>
      </c>
      <c r="H136" s="2" t="s">
        <v>357</v>
      </c>
      <c r="I136" t="s">
        <v>401</v>
      </c>
      <c r="J136" s="26">
        <v>46140</v>
      </c>
      <c r="K136" s="26">
        <v>46144</v>
      </c>
      <c r="L136" t="s">
        <v>29</v>
      </c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9"/>
      <c r="Y136" s="20"/>
      <c r="Z136" s="20"/>
      <c r="AA136" s="20"/>
      <c r="AB136" s="20"/>
      <c r="AC136" s="20"/>
    </row>
    <row r="137" spans="2:31" ht="14.45">
      <c r="B137" t="s">
        <v>402</v>
      </c>
      <c r="C137" t="s">
        <v>22</v>
      </c>
      <c r="D137" t="s">
        <v>263</v>
      </c>
      <c r="E137" t="s">
        <v>283</v>
      </c>
      <c r="F137" s="1" t="s">
        <v>403</v>
      </c>
      <c r="G137" t="s">
        <v>26</v>
      </c>
      <c r="H137" s="2" t="s">
        <v>392</v>
      </c>
      <c r="I137" t="s">
        <v>288</v>
      </c>
      <c r="J137" s="26">
        <v>46107</v>
      </c>
      <c r="K137" s="26">
        <v>46121</v>
      </c>
      <c r="L137" t="s">
        <v>29</v>
      </c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9"/>
      <c r="Y137" s="20"/>
      <c r="Z137" s="20"/>
      <c r="AA137" s="20"/>
      <c r="AB137" s="20"/>
      <c r="AC137" s="20"/>
    </row>
    <row r="138" spans="2:31" ht="14.45">
      <c r="B138" t="s">
        <v>404</v>
      </c>
      <c r="C138" t="s">
        <v>22</v>
      </c>
      <c r="D138" t="s">
        <v>263</v>
      </c>
      <c r="E138" t="s">
        <v>283</v>
      </c>
      <c r="F138" s="1" t="s">
        <v>405</v>
      </c>
      <c r="G138" t="s">
        <v>32</v>
      </c>
      <c r="H138" s="2" t="s">
        <v>368</v>
      </c>
      <c r="I138" t="s">
        <v>406</v>
      </c>
      <c r="J138" s="26">
        <v>46114</v>
      </c>
      <c r="K138" s="26">
        <v>46121</v>
      </c>
      <c r="L138" t="s">
        <v>29</v>
      </c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9"/>
      <c r="Z138" s="29"/>
      <c r="AA138" s="20"/>
      <c r="AB138" s="20"/>
      <c r="AC138" s="20"/>
    </row>
    <row r="139" spans="2:31" ht="14.45">
      <c r="B139" t="s">
        <v>407</v>
      </c>
      <c r="C139" t="s">
        <v>22</v>
      </c>
      <c r="D139" t="s">
        <v>263</v>
      </c>
      <c r="E139" t="s">
        <v>115</v>
      </c>
      <c r="F139" s="1" t="s">
        <v>408</v>
      </c>
      <c r="G139" t="s">
        <v>117</v>
      </c>
      <c r="H139" s="2" t="s">
        <v>368</v>
      </c>
      <c r="I139" t="s">
        <v>276</v>
      </c>
      <c r="J139" s="26">
        <v>46107</v>
      </c>
      <c r="K139" s="26">
        <v>46121</v>
      </c>
      <c r="L139" t="s">
        <v>235</v>
      </c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9"/>
      <c r="Z139" s="29"/>
      <c r="AA139" s="20"/>
      <c r="AB139" s="20"/>
      <c r="AC139" s="20"/>
    </row>
    <row r="140" spans="2:31" ht="14.45">
      <c r="B140" t="s">
        <v>409</v>
      </c>
      <c r="C140" t="s">
        <v>22</v>
      </c>
      <c r="D140" t="s">
        <v>263</v>
      </c>
      <c r="E140" t="s">
        <v>115</v>
      </c>
      <c r="F140" s="1" t="s">
        <v>410</v>
      </c>
      <c r="G140" t="s">
        <v>117</v>
      </c>
      <c r="H140" s="2" t="s">
        <v>368</v>
      </c>
      <c r="I140" t="s">
        <v>331</v>
      </c>
      <c r="J140" s="26">
        <v>46107</v>
      </c>
      <c r="K140" s="26">
        <v>46121</v>
      </c>
      <c r="L140" t="s">
        <v>29</v>
      </c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9"/>
      <c r="AB140" s="20"/>
      <c r="AC140" s="20"/>
    </row>
    <row r="141" spans="2:31" ht="14.45">
      <c r="B141" t="s">
        <v>411</v>
      </c>
      <c r="C141" t="s">
        <v>22</v>
      </c>
      <c r="D141" t="s">
        <v>263</v>
      </c>
      <c r="E141" t="s">
        <v>115</v>
      </c>
      <c r="F141" s="1" t="s">
        <v>412</v>
      </c>
      <c r="G141" t="s">
        <v>117</v>
      </c>
      <c r="H141" s="2" t="s">
        <v>368</v>
      </c>
      <c r="I141" t="s">
        <v>331</v>
      </c>
      <c r="J141" s="26">
        <v>46107</v>
      </c>
      <c r="K141" s="26">
        <v>46121</v>
      </c>
      <c r="L141" t="s">
        <v>235</v>
      </c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9"/>
      <c r="AB141" s="20"/>
      <c r="AC141" s="20"/>
    </row>
    <row r="142" spans="2:31" ht="14.45">
      <c r="B142" t="s">
        <v>413</v>
      </c>
      <c r="C142" t="s">
        <v>22</v>
      </c>
      <c r="D142" t="s">
        <v>263</v>
      </c>
      <c r="E142" t="s">
        <v>115</v>
      </c>
      <c r="F142" s="1" t="s">
        <v>414</v>
      </c>
      <c r="G142" t="s">
        <v>121</v>
      </c>
      <c r="H142" s="2" t="s">
        <v>301</v>
      </c>
      <c r="I142" t="s">
        <v>415</v>
      </c>
      <c r="J142" s="26">
        <v>46121</v>
      </c>
      <c r="K142" s="26">
        <v>46168</v>
      </c>
      <c r="L142" t="s">
        <v>33</v>
      </c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9"/>
      <c r="AC142" s="29"/>
    </row>
    <row r="143" spans="2:31" ht="14.45">
      <c r="B143" t="s">
        <v>416</v>
      </c>
      <c r="C143" t="s">
        <v>22</v>
      </c>
      <c r="D143" t="s">
        <v>263</v>
      </c>
      <c r="E143" t="s">
        <v>115</v>
      </c>
      <c r="F143" s="1" t="s">
        <v>417</v>
      </c>
      <c r="G143" t="s">
        <v>121</v>
      </c>
      <c r="H143" s="2" t="s">
        <v>418</v>
      </c>
      <c r="I143" t="s">
        <v>415</v>
      </c>
      <c r="J143" s="26">
        <v>46160</v>
      </c>
      <c r="K143" s="26">
        <v>46170</v>
      </c>
      <c r="L143" t="s">
        <v>33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9"/>
      <c r="AC143" s="29"/>
    </row>
    <row r="144" spans="2:31" ht="14.45">
      <c r="B144" t="s">
        <v>419</v>
      </c>
      <c r="C144" t="s">
        <v>22</v>
      </c>
      <c r="D144" t="s">
        <v>263</v>
      </c>
      <c r="E144" t="s">
        <v>115</v>
      </c>
      <c r="F144" s="1" t="s">
        <v>420</v>
      </c>
      <c r="G144" t="s">
        <v>51</v>
      </c>
      <c r="H144" s="2" t="s">
        <v>421</v>
      </c>
      <c r="I144" t="s">
        <v>415</v>
      </c>
      <c r="J144" s="26">
        <v>46128</v>
      </c>
      <c r="K144" s="26">
        <v>46168</v>
      </c>
      <c r="L144" t="s">
        <v>33</v>
      </c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9"/>
      <c r="AC144" s="29"/>
    </row>
    <row r="145" spans="2:29" ht="14.45">
      <c r="B145" t="s">
        <v>422</v>
      </c>
      <c r="C145" t="s">
        <v>22</v>
      </c>
      <c r="D145" t="s">
        <v>263</v>
      </c>
      <c r="E145" t="s">
        <v>423</v>
      </c>
      <c r="F145" s="1" t="s">
        <v>424</v>
      </c>
      <c r="G145" t="s">
        <v>425</v>
      </c>
      <c r="H145" s="2" t="s">
        <v>426</v>
      </c>
      <c r="I145" t="s">
        <v>415</v>
      </c>
      <c r="J145" s="26">
        <v>46125</v>
      </c>
      <c r="K145" s="26">
        <v>46168</v>
      </c>
      <c r="L145" t="s">
        <v>33</v>
      </c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9"/>
      <c r="AC145" s="29"/>
    </row>
    <row r="146" spans="2:29" ht="14.45">
      <c r="B146" t="s">
        <v>427</v>
      </c>
      <c r="C146" t="s">
        <v>22</v>
      </c>
      <c r="D146" t="s">
        <v>263</v>
      </c>
      <c r="E146" t="s">
        <v>423</v>
      </c>
      <c r="F146" s="1" t="s">
        <v>428</v>
      </c>
      <c r="G146" t="s">
        <v>121</v>
      </c>
      <c r="H146" s="2" t="s">
        <v>421</v>
      </c>
      <c r="I146" t="s">
        <v>151</v>
      </c>
      <c r="J146" s="26">
        <v>46125</v>
      </c>
      <c r="K146" s="26">
        <v>46168</v>
      </c>
      <c r="L146" t="s">
        <v>33</v>
      </c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9"/>
      <c r="AC146" s="29"/>
    </row>
    <row r="147" spans="2:29" ht="14.45">
      <c r="B147" t="s">
        <v>429</v>
      </c>
      <c r="C147" t="s">
        <v>22</v>
      </c>
      <c r="D147" t="s">
        <v>263</v>
      </c>
      <c r="E147" t="s">
        <v>423</v>
      </c>
      <c r="F147" s="1" t="s">
        <v>430</v>
      </c>
      <c r="G147" t="s">
        <v>121</v>
      </c>
      <c r="H147" s="2" t="s">
        <v>421</v>
      </c>
      <c r="I147" t="s">
        <v>151</v>
      </c>
      <c r="J147" s="26">
        <v>46132</v>
      </c>
      <c r="K147" s="26">
        <v>46168</v>
      </c>
      <c r="L147" t="s">
        <v>33</v>
      </c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9"/>
      <c r="AC147" s="29"/>
    </row>
    <row r="148" spans="2:29" ht="14.45">
      <c r="B148" t="s">
        <v>431</v>
      </c>
      <c r="C148" t="s">
        <v>22</v>
      </c>
      <c r="D148" t="s">
        <v>263</v>
      </c>
      <c r="E148" t="s">
        <v>423</v>
      </c>
      <c r="F148" s="1" t="s">
        <v>432</v>
      </c>
      <c r="G148" t="s">
        <v>433</v>
      </c>
      <c r="H148" s="2" t="s">
        <v>301</v>
      </c>
      <c r="I148" t="s">
        <v>151</v>
      </c>
      <c r="J148" s="26">
        <v>46138</v>
      </c>
      <c r="K148" s="26">
        <v>46168</v>
      </c>
      <c r="L148" t="s">
        <v>33</v>
      </c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9"/>
      <c r="AC148" s="29"/>
    </row>
    <row r="149" spans="2:29" ht="14.45">
      <c r="B149" t="s">
        <v>434</v>
      </c>
      <c r="C149" t="s">
        <v>22</v>
      </c>
      <c r="D149" t="s">
        <v>263</v>
      </c>
      <c r="E149" t="s">
        <v>423</v>
      </c>
      <c r="F149" s="1" t="s">
        <v>435</v>
      </c>
      <c r="G149" t="s">
        <v>121</v>
      </c>
      <c r="H149" s="2" t="s">
        <v>301</v>
      </c>
      <c r="I149" t="s">
        <v>151</v>
      </c>
      <c r="J149" s="26">
        <v>46140</v>
      </c>
      <c r="K149" s="26">
        <v>46168</v>
      </c>
      <c r="L149" t="s">
        <v>33</v>
      </c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9"/>
      <c r="AC149" s="29"/>
    </row>
    <row r="150" spans="2:29" ht="14.45">
      <c r="B150" t="s">
        <v>436</v>
      </c>
      <c r="C150" t="s">
        <v>22</v>
      </c>
      <c r="D150" t="s">
        <v>263</v>
      </c>
      <c r="E150" t="s">
        <v>437</v>
      </c>
      <c r="F150" s="1" t="s">
        <v>438</v>
      </c>
      <c r="G150" t="s">
        <v>439</v>
      </c>
      <c r="H150" s="2" t="s">
        <v>440</v>
      </c>
      <c r="I150" t="s">
        <v>151</v>
      </c>
      <c r="J150" s="26">
        <v>46139</v>
      </c>
      <c r="K150" s="26">
        <v>46168</v>
      </c>
      <c r="L150" t="s">
        <v>33</v>
      </c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9"/>
      <c r="AC150" s="29"/>
    </row>
    <row r="151" spans="2:29" ht="14.45">
      <c r="B151" t="s">
        <v>441</v>
      </c>
      <c r="C151" t="s">
        <v>22</v>
      </c>
      <c r="D151" t="s">
        <v>263</v>
      </c>
      <c r="E151" t="s">
        <v>437</v>
      </c>
      <c r="F151" s="1" t="s">
        <v>442</v>
      </c>
      <c r="G151" t="s">
        <v>121</v>
      </c>
      <c r="H151" s="2" t="s">
        <v>443</v>
      </c>
      <c r="I151" t="s">
        <v>151</v>
      </c>
      <c r="J151" s="26">
        <v>46091</v>
      </c>
      <c r="K151" s="26">
        <v>46112</v>
      </c>
      <c r="L151" t="s">
        <v>29</v>
      </c>
      <c r="M151" s="20"/>
      <c r="N151" s="20"/>
      <c r="O151" s="20"/>
      <c r="P151" s="20"/>
      <c r="Q151" s="20"/>
      <c r="R151" s="20"/>
      <c r="S151" s="20"/>
      <c r="T151" s="20"/>
      <c r="U151" s="29"/>
      <c r="V151" s="20"/>
      <c r="W151" s="20"/>
      <c r="X151" s="20"/>
      <c r="Y151" s="20"/>
      <c r="Z151" s="20"/>
      <c r="AA151" s="20"/>
      <c r="AB151" s="20"/>
      <c r="AC151" s="20"/>
    </row>
    <row r="152" spans="2:29" ht="14.45">
      <c r="B152" t="s">
        <v>444</v>
      </c>
      <c r="C152" t="s">
        <v>22</v>
      </c>
      <c r="D152" t="s">
        <v>263</v>
      </c>
      <c r="E152" t="s">
        <v>437</v>
      </c>
      <c r="F152" s="1" t="s">
        <v>445</v>
      </c>
      <c r="G152" t="s">
        <v>113</v>
      </c>
      <c r="H152" s="2" t="s">
        <v>353</v>
      </c>
      <c r="I152" t="s">
        <v>151</v>
      </c>
      <c r="J152" s="26">
        <v>46132</v>
      </c>
      <c r="K152" s="26">
        <v>46134</v>
      </c>
      <c r="L152" t="s">
        <v>29</v>
      </c>
      <c r="M152" s="20"/>
      <c r="N152" s="20"/>
      <c r="O152" s="20"/>
      <c r="P152" s="20"/>
      <c r="Q152" s="20"/>
      <c r="R152" s="20"/>
      <c r="S152" s="20"/>
      <c r="T152" s="20"/>
      <c r="U152" s="20"/>
      <c r="V152" s="29"/>
      <c r="W152" s="20"/>
      <c r="X152" s="20"/>
      <c r="Y152" s="20"/>
      <c r="Z152" s="20"/>
      <c r="AA152" s="20"/>
      <c r="AB152" s="20"/>
      <c r="AC152" s="20"/>
    </row>
    <row r="153" spans="2:29" ht="14.45">
      <c r="B153" t="s">
        <v>446</v>
      </c>
      <c r="C153" t="s">
        <v>22</v>
      </c>
      <c r="D153" t="s">
        <v>263</v>
      </c>
      <c r="E153" t="s">
        <v>437</v>
      </c>
      <c r="F153" s="1" t="s">
        <v>447</v>
      </c>
      <c r="G153" t="s">
        <v>37</v>
      </c>
      <c r="H153" s="2" t="s">
        <v>368</v>
      </c>
      <c r="I153" t="s">
        <v>28</v>
      </c>
      <c r="J153" s="26">
        <v>46153</v>
      </c>
      <c r="K153" s="26">
        <v>46163</v>
      </c>
      <c r="L153" t="s">
        <v>448</v>
      </c>
      <c r="M153" s="20"/>
      <c r="N153" s="20"/>
      <c r="O153" s="20"/>
      <c r="P153" s="20"/>
      <c r="Q153" s="20"/>
      <c r="R153" s="20"/>
      <c r="S153" s="20"/>
      <c r="T153" s="20"/>
      <c r="U153" s="20"/>
      <c r="V153" s="29"/>
      <c r="W153" s="20"/>
      <c r="X153" s="20"/>
      <c r="Y153" s="20"/>
      <c r="Z153" s="20"/>
      <c r="AA153" s="20"/>
      <c r="AB153" s="20"/>
      <c r="AC153" s="20"/>
    </row>
    <row r="154" spans="2:29" ht="14.45">
      <c r="B154" t="s">
        <v>449</v>
      </c>
      <c r="C154" t="s">
        <v>22</v>
      </c>
      <c r="D154" t="s">
        <v>263</v>
      </c>
      <c r="E154" t="s">
        <v>437</v>
      </c>
      <c r="F154" s="1" t="s">
        <v>450</v>
      </c>
      <c r="G154" t="s">
        <v>121</v>
      </c>
      <c r="H154" s="2" t="s">
        <v>451</v>
      </c>
      <c r="I154" t="s">
        <v>151</v>
      </c>
      <c r="J154" s="26">
        <v>46153</v>
      </c>
      <c r="K154" s="26">
        <v>46170</v>
      </c>
      <c r="L154" t="s">
        <v>106</v>
      </c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9"/>
      <c r="AB154" s="29"/>
      <c r="AC154" s="29"/>
    </row>
    <row r="155" spans="2:29" ht="14.45">
      <c r="B155" t="s">
        <v>452</v>
      </c>
      <c r="C155" t="s">
        <v>22</v>
      </c>
      <c r="D155" t="s">
        <v>453</v>
      </c>
      <c r="E155" t="s">
        <v>454</v>
      </c>
      <c r="F155" s="1" t="s">
        <v>455</v>
      </c>
      <c r="G155" t="s">
        <v>144</v>
      </c>
      <c r="H155" t="s">
        <v>456</v>
      </c>
      <c r="I155" t="s">
        <v>457</v>
      </c>
      <c r="J155" s="26">
        <v>46065</v>
      </c>
      <c r="K155" s="26">
        <v>46107</v>
      </c>
      <c r="L155" t="s">
        <v>29</v>
      </c>
      <c r="M155" s="20"/>
      <c r="N155" s="20"/>
      <c r="O155" s="20"/>
      <c r="P155" s="20"/>
      <c r="Q155" s="20"/>
      <c r="R155" s="20"/>
      <c r="S155" s="20"/>
      <c r="T155" s="20"/>
      <c r="U155" s="20"/>
      <c r="V155" s="29"/>
      <c r="W155" s="20"/>
      <c r="X155" s="20"/>
      <c r="Y155" s="20"/>
      <c r="Z155" s="20"/>
      <c r="AA155" s="20"/>
      <c r="AB155" s="20"/>
      <c r="AC155" s="20"/>
    </row>
    <row r="156" spans="2:29" ht="29.1">
      <c r="B156" t="s">
        <v>458</v>
      </c>
      <c r="C156" t="s">
        <v>22</v>
      </c>
      <c r="D156" t="s">
        <v>453</v>
      </c>
      <c r="E156" t="s">
        <v>454</v>
      </c>
      <c r="F156" s="1" t="s">
        <v>459</v>
      </c>
      <c r="G156" t="s">
        <v>144</v>
      </c>
      <c r="H156" t="s">
        <v>190</v>
      </c>
      <c r="I156" t="s">
        <v>457</v>
      </c>
      <c r="J156" s="26">
        <v>46107</v>
      </c>
      <c r="K156" s="26">
        <v>46114</v>
      </c>
      <c r="L156" t="s">
        <v>29</v>
      </c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9"/>
      <c r="X156" s="20"/>
      <c r="Y156" s="20"/>
      <c r="Z156" s="20"/>
      <c r="AA156" s="20"/>
      <c r="AB156" s="20"/>
      <c r="AC156" s="20"/>
    </row>
    <row r="157" spans="2:29" ht="29.1">
      <c r="B157" t="s">
        <v>460</v>
      </c>
      <c r="C157" t="s">
        <v>22</v>
      </c>
      <c r="D157" t="s">
        <v>453</v>
      </c>
      <c r="E157" t="s">
        <v>454</v>
      </c>
      <c r="F157" s="1" t="s">
        <v>461</v>
      </c>
      <c r="G157" t="s">
        <v>37</v>
      </c>
      <c r="H157" t="s">
        <v>462</v>
      </c>
      <c r="I157" t="s">
        <v>463</v>
      </c>
      <c r="J157" s="26">
        <v>46086</v>
      </c>
      <c r="K157" s="26">
        <v>46093</v>
      </c>
      <c r="L157" t="s">
        <v>29</v>
      </c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9"/>
      <c r="X157" s="20"/>
      <c r="Y157" s="20"/>
      <c r="Z157" s="20"/>
      <c r="AA157" s="20"/>
      <c r="AB157" s="20"/>
      <c r="AC157" s="20"/>
    </row>
    <row r="158" spans="2:29" ht="14.45">
      <c r="B158" t="s">
        <v>464</v>
      </c>
      <c r="C158" t="s">
        <v>22</v>
      </c>
      <c r="D158" t="s">
        <v>453</v>
      </c>
      <c r="E158" t="s">
        <v>454</v>
      </c>
      <c r="F158" s="1" t="s">
        <v>465</v>
      </c>
      <c r="G158" t="s">
        <v>466</v>
      </c>
      <c r="I158" t="s">
        <v>463</v>
      </c>
      <c r="J158" s="26">
        <v>46107</v>
      </c>
      <c r="K158" s="26">
        <v>46114</v>
      </c>
      <c r="L158" t="s">
        <v>29</v>
      </c>
      <c r="M158" s="20"/>
      <c r="N158" s="20"/>
      <c r="O158" s="20"/>
      <c r="P158" s="20"/>
      <c r="Q158" s="20"/>
      <c r="R158" s="20"/>
      <c r="S158" s="20"/>
      <c r="T158" s="29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2:29" ht="14.45">
      <c r="B159" t="s">
        <v>467</v>
      </c>
      <c r="C159" t="s">
        <v>22</v>
      </c>
      <c r="D159" t="s">
        <v>453</v>
      </c>
      <c r="E159" t="s">
        <v>454</v>
      </c>
      <c r="F159" s="1" t="s">
        <v>468</v>
      </c>
      <c r="G159" t="s">
        <v>51</v>
      </c>
      <c r="H159" t="s">
        <v>182</v>
      </c>
      <c r="I159" t="s">
        <v>463</v>
      </c>
      <c r="J159" s="26">
        <v>46107</v>
      </c>
      <c r="K159" s="26">
        <v>46114</v>
      </c>
      <c r="L159" t="s">
        <v>29</v>
      </c>
      <c r="M159" s="20"/>
      <c r="N159" s="20"/>
      <c r="O159" s="20"/>
      <c r="P159" s="20"/>
      <c r="Q159" s="20"/>
      <c r="R159" s="20"/>
      <c r="S159" s="20"/>
      <c r="T159" s="29"/>
      <c r="U159" s="29"/>
      <c r="V159" s="20"/>
      <c r="W159" s="20"/>
      <c r="X159" s="20"/>
      <c r="Y159" s="20"/>
      <c r="Z159" s="20"/>
      <c r="AA159" s="20"/>
      <c r="AB159" s="20"/>
      <c r="AC159" s="20"/>
    </row>
    <row r="160" spans="2:29" ht="29.1">
      <c r="B160" t="s">
        <v>469</v>
      </c>
      <c r="C160" t="s">
        <v>22</v>
      </c>
      <c r="D160" t="s">
        <v>453</v>
      </c>
      <c r="E160" t="s">
        <v>286</v>
      </c>
      <c r="F160" s="1" t="s">
        <v>470</v>
      </c>
      <c r="G160" t="s">
        <v>117</v>
      </c>
      <c r="H160" t="s">
        <v>182</v>
      </c>
      <c r="I160" t="s">
        <v>471</v>
      </c>
      <c r="J160" s="26">
        <v>46107</v>
      </c>
      <c r="K160" s="26">
        <v>46114</v>
      </c>
      <c r="L160" t="s">
        <v>29</v>
      </c>
      <c r="M160" s="20"/>
      <c r="N160" s="20"/>
      <c r="O160" s="20"/>
      <c r="P160" s="20"/>
      <c r="Q160" s="20"/>
      <c r="R160" s="20"/>
      <c r="S160" s="20"/>
      <c r="T160" s="20"/>
      <c r="U160" s="29"/>
      <c r="V160" s="20"/>
      <c r="W160" s="20"/>
      <c r="X160" s="20"/>
      <c r="Y160" s="20"/>
      <c r="Z160" s="20"/>
      <c r="AA160" s="20"/>
      <c r="AB160" s="20"/>
      <c r="AC160" s="20"/>
    </row>
    <row r="161" spans="2:29" ht="14.45">
      <c r="B161" t="s">
        <v>472</v>
      </c>
      <c r="C161" t="s">
        <v>22</v>
      </c>
      <c r="D161" t="s">
        <v>453</v>
      </c>
      <c r="E161" t="s">
        <v>286</v>
      </c>
      <c r="F161" s="1" t="s">
        <v>473</v>
      </c>
      <c r="G161" t="s">
        <v>144</v>
      </c>
      <c r="H161" t="s">
        <v>182</v>
      </c>
      <c r="I161" t="s">
        <v>471</v>
      </c>
      <c r="J161" s="26">
        <v>46107</v>
      </c>
      <c r="K161" s="26">
        <v>46114</v>
      </c>
      <c r="L161" t="s">
        <v>29</v>
      </c>
      <c r="M161" s="20"/>
      <c r="N161" s="20"/>
      <c r="O161" s="20"/>
      <c r="P161" s="20"/>
      <c r="Q161" s="20"/>
      <c r="R161" s="20"/>
      <c r="S161" s="20"/>
      <c r="T161" s="20"/>
      <c r="U161" s="29"/>
      <c r="V161" s="20"/>
      <c r="W161" s="20"/>
      <c r="X161" s="20"/>
      <c r="Y161" s="20"/>
      <c r="Z161" s="20"/>
      <c r="AA161" s="20"/>
      <c r="AB161" s="20"/>
      <c r="AC161" s="20"/>
    </row>
    <row r="162" spans="2:29" ht="14.45">
      <c r="B162" t="s">
        <v>474</v>
      </c>
      <c r="C162" t="s">
        <v>22</v>
      </c>
      <c r="D162" t="s">
        <v>453</v>
      </c>
      <c r="E162" t="s">
        <v>286</v>
      </c>
      <c r="F162" s="1" t="s">
        <v>475</v>
      </c>
      <c r="G162" t="s">
        <v>37</v>
      </c>
      <c r="H162" t="s">
        <v>190</v>
      </c>
      <c r="I162" t="s">
        <v>463</v>
      </c>
      <c r="J162" s="26">
        <v>46114</v>
      </c>
      <c r="K162" s="26">
        <v>46121</v>
      </c>
      <c r="L162" t="s">
        <v>29</v>
      </c>
      <c r="M162" s="20"/>
      <c r="N162" s="29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2:29" ht="14.45">
      <c r="B163" t="s">
        <v>476</v>
      </c>
      <c r="C163" t="s">
        <v>22</v>
      </c>
      <c r="D163" t="s">
        <v>453</v>
      </c>
      <c r="E163" t="s">
        <v>286</v>
      </c>
      <c r="F163" s="1" t="s">
        <v>477</v>
      </c>
      <c r="G163" t="s">
        <v>32</v>
      </c>
      <c r="H163" t="s">
        <v>190</v>
      </c>
      <c r="I163" t="s">
        <v>478</v>
      </c>
      <c r="J163" s="26">
        <v>46128</v>
      </c>
      <c r="K163" s="26">
        <v>46142</v>
      </c>
      <c r="L163" t="s">
        <v>479</v>
      </c>
      <c r="M163" s="20"/>
      <c r="N163" s="20"/>
      <c r="O163" s="29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2:29" ht="14.45">
      <c r="B164" t="s">
        <v>480</v>
      </c>
      <c r="C164" t="s">
        <v>22</v>
      </c>
      <c r="D164" t="s">
        <v>453</v>
      </c>
      <c r="E164" t="s">
        <v>286</v>
      </c>
      <c r="F164" s="1" t="s">
        <v>481</v>
      </c>
      <c r="G164" t="s">
        <v>117</v>
      </c>
      <c r="H164" t="s">
        <v>482</v>
      </c>
      <c r="I164" t="s">
        <v>471</v>
      </c>
      <c r="J164" s="26">
        <v>46135</v>
      </c>
      <c r="K164" s="26">
        <v>46142</v>
      </c>
      <c r="L164" t="s">
        <v>33</v>
      </c>
      <c r="M164" s="20"/>
      <c r="N164" s="20"/>
      <c r="O164" s="20"/>
      <c r="P164" s="20"/>
      <c r="Q164" s="29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2:29" ht="14.45">
      <c r="B165" t="s">
        <v>483</v>
      </c>
      <c r="C165" t="s">
        <v>22</v>
      </c>
      <c r="D165" t="s">
        <v>453</v>
      </c>
      <c r="E165" t="s">
        <v>286</v>
      </c>
      <c r="F165" s="1" t="s">
        <v>484</v>
      </c>
      <c r="G165" t="s">
        <v>47</v>
      </c>
      <c r="H165" t="s">
        <v>190</v>
      </c>
      <c r="I165" t="s">
        <v>463</v>
      </c>
      <c r="J165" s="26">
        <v>46114</v>
      </c>
      <c r="K165" s="26">
        <v>46121</v>
      </c>
      <c r="L165" t="s">
        <v>29</v>
      </c>
      <c r="M165" s="20"/>
      <c r="N165" s="20"/>
      <c r="O165" s="20"/>
      <c r="P165" s="29"/>
      <c r="Q165" s="29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2:29" ht="14.45">
      <c r="B166" t="s">
        <v>485</v>
      </c>
      <c r="C166" t="s">
        <v>22</v>
      </c>
      <c r="D166" t="s">
        <v>453</v>
      </c>
      <c r="E166" t="s">
        <v>286</v>
      </c>
      <c r="F166" s="1" t="s">
        <v>486</v>
      </c>
      <c r="G166" t="s">
        <v>121</v>
      </c>
      <c r="H166" t="s">
        <v>487</v>
      </c>
      <c r="I166" t="s">
        <v>463</v>
      </c>
      <c r="J166" s="26">
        <v>46128</v>
      </c>
      <c r="K166" s="26">
        <v>46142</v>
      </c>
      <c r="L166" t="s">
        <v>479</v>
      </c>
      <c r="M166" s="20"/>
      <c r="N166" s="20"/>
      <c r="O166" s="20"/>
      <c r="P166" s="29"/>
      <c r="Q166" s="29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2:29" ht="14.45">
      <c r="B167" t="s">
        <v>488</v>
      </c>
      <c r="C167" t="s">
        <v>22</v>
      </c>
      <c r="D167" t="s">
        <v>453</v>
      </c>
      <c r="E167" t="s">
        <v>286</v>
      </c>
      <c r="F167" s="1" t="s">
        <v>489</v>
      </c>
      <c r="G167" t="s">
        <v>51</v>
      </c>
      <c r="H167" t="s">
        <v>190</v>
      </c>
      <c r="I167" t="s">
        <v>463</v>
      </c>
      <c r="J167" s="26">
        <v>46142</v>
      </c>
      <c r="K167" s="26">
        <v>46149</v>
      </c>
      <c r="L167" t="s">
        <v>33</v>
      </c>
      <c r="M167" s="20"/>
      <c r="N167" s="20"/>
      <c r="O167" s="20"/>
      <c r="P167" s="20"/>
      <c r="Q167" s="29"/>
      <c r="R167" s="29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2:29" ht="29.1">
      <c r="B168" t="s">
        <v>490</v>
      </c>
      <c r="C168" t="s">
        <v>22</v>
      </c>
      <c r="D168" t="s">
        <v>453</v>
      </c>
      <c r="E168" t="s">
        <v>491</v>
      </c>
      <c r="F168" s="1" t="s">
        <v>492</v>
      </c>
      <c r="G168" t="s">
        <v>144</v>
      </c>
      <c r="H168" t="s">
        <v>190</v>
      </c>
      <c r="I168" t="s">
        <v>463</v>
      </c>
      <c r="J168" s="26">
        <v>46100</v>
      </c>
      <c r="K168" s="26">
        <v>46107</v>
      </c>
      <c r="L168" t="s">
        <v>29</v>
      </c>
      <c r="M168" s="20"/>
      <c r="N168" s="20"/>
      <c r="O168" s="20"/>
      <c r="P168" s="20"/>
      <c r="Q168" s="20"/>
      <c r="R168" s="29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2:29" ht="14.45">
      <c r="B169" t="s">
        <v>493</v>
      </c>
      <c r="C169" t="s">
        <v>22</v>
      </c>
      <c r="D169" t="s">
        <v>453</v>
      </c>
      <c r="E169" t="s">
        <v>491</v>
      </c>
      <c r="F169" s="1" t="s">
        <v>494</v>
      </c>
      <c r="G169" t="s">
        <v>144</v>
      </c>
      <c r="H169" t="s">
        <v>487</v>
      </c>
      <c r="I169" t="s">
        <v>463</v>
      </c>
      <c r="J169" s="26">
        <v>46100</v>
      </c>
      <c r="K169" s="26">
        <v>46114</v>
      </c>
      <c r="L169" t="s">
        <v>29</v>
      </c>
      <c r="M169" s="20"/>
      <c r="N169" s="20"/>
      <c r="O169" s="20"/>
      <c r="P169" s="20"/>
      <c r="Q169" s="20"/>
      <c r="R169" s="29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2:29" ht="14.45">
      <c r="B170" t="s">
        <v>495</v>
      </c>
      <c r="C170" t="s">
        <v>22</v>
      </c>
      <c r="D170" t="s">
        <v>453</v>
      </c>
      <c r="E170" t="s">
        <v>491</v>
      </c>
      <c r="F170" s="1" t="s">
        <v>496</v>
      </c>
      <c r="G170" t="s">
        <v>144</v>
      </c>
      <c r="H170" t="s">
        <v>190</v>
      </c>
      <c r="I170" t="s">
        <v>463</v>
      </c>
      <c r="J170" s="26">
        <v>46107</v>
      </c>
      <c r="K170" s="26">
        <v>46149</v>
      </c>
      <c r="L170" t="s">
        <v>106</v>
      </c>
      <c r="M170" s="20"/>
      <c r="N170" s="20"/>
      <c r="O170" s="20"/>
      <c r="P170" s="20"/>
      <c r="Q170" s="20"/>
      <c r="R170" s="29"/>
      <c r="S170" s="29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2:29" ht="14.45">
      <c r="B171" t="s">
        <v>497</v>
      </c>
      <c r="C171" t="s">
        <v>22</v>
      </c>
      <c r="D171" t="s">
        <v>453</v>
      </c>
      <c r="E171" t="s">
        <v>491</v>
      </c>
      <c r="F171" s="1" t="s">
        <v>498</v>
      </c>
      <c r="G171" t="s">
        <v>144</v>
      </c>
      <c r="H171" t="s">
        <v>190</v>
      </c>
      <c r="I171" t="s">
        <v>463</v>
      </c>
      <c r="J171" s="26">
        <v>46149</v>
      </c>
      <c r="K171" s="26">
        <v>46156</v>
      </c>
      <c r="L171" t="s">
        <v>33</v>
      </c>
      <c r="M171" s="20"/>
      <c r="N171" s="20"/>
      <c r="O171" s="20"/>
      <c r="P171" s="20"/>
      <c r="Q171" s="20"/>
      <c r="R171" s="20"/>
      <c r="S171" s="29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2:29" ht="29.1">
      <c r="B172" t="s">
        <v>499</v>
      </c>
      <c r="C172" t="s">
        <v>22</v>
      </c>
      <c r="D172" t="s">
        <v>453</v>
      </c>
      <c r="E172" t="s">
        <v>500</v>
      </c>
      <c r="F172" s="1" t="s">
        <v>501</v>
      </c>
      <c r="G172" t="s">
        <v>26</v>
      </c>
      <c r="H172" t="s">
        <v>190</v>
      </c>
      <c r="I172" t="s">
        <v>502</v>
      </c>
      <c r="J172" s="26">
        <v>46058</v>
      </c>
      <c r="K172" s="26">
        <v>46065</v>
      </c>
      <c r="L172" t="s">
        <v>29</v>
      </c>
      <c r="M172" s="20"/>
      <c r="N172" s="20"/>
      <c r="O172" s="20"/>
      <c r="P172" s="20"/>
      <c r="Q172" s="20"/>
      <c r="R172" s="20"/>
      <c r="S172" s="20"/>
      <c r="T172" s="29"/>
      <c r="U172" s="29"/>
      <c r="V172" s="20"/>
      <c r="W172" s="20"/>
      <c r="X172" s="20"/>
      <c r="Y172" s="20"/>
      <c r="Z172" s="20"/>
      <c r="AA172" s="20"/>
      <c r="AB172" s="20"/>
      <c r="AC172" s="20"/>
    </row>
    <row r="173" spans="2:29" ht="29.1">
      <c r="B173" t="s">
        <v>503</v>
      </c>
      <c r="C173" t="s">
        <v>22</v>
      </c>
      <c r="D173" t="s">
        <v>453</v>
      </c>
      <c r="E173" t="s">
        <v>500</v>
      </c>
      <c r="F173" s="1" t="s">
        <v>504</v>
      </c>
      <c r="G173" t="s">
        <v>117</v>
      </c>
      <c r="H173" t="s">
        <v>505</v>
      </c>
      <c r="I173" t="s">
        <v>502</v>
      </c>
      <c r="J173" s="26">
        <v>46065</v>
      </c>
      <c r="K173" s="26">
        <v>46072</v>
      </c>
      <c r="L173" t="s">
        <v>29</v>
      </c>
      <c r="M173" s="20"/>
      <c r="N173" s="20"/>
      <c r="O173" s="20"/>
      <c r="P173" s="20"/>
      <c r="Q173" s="20"/>
      <c r="R173" s="20"/>
      <c r="S173" s="20"/>
      <c r="T173" s="29"/>
      <c r="U173" s="29"/>
      <c r="V173" s="20"/>
      <c r="W173" s="20"/>
      <c r="X173" s="20"/>
      <c r="Y173" s="20"/>
      <c r="Z173" s="20"/>
      <c r="AA173" s="20"/>
      <c r="AB173" s="20"/>
      <c r="AC173" s="20"/>
    </row>
    <row r="174" spans="2:29" ht="14.45">
      <c r="B174" t="s">
        <v>506</v>
      </c>
      <c r="C174" t="s">
        <v>22</v>
      </c>
      <c r="D174" t="s">
        <v>453</v>
      </c>
      <c r="E174" t="s">
        <v>500</v>
      </c>
      <c r="F174" s="1" t="s">
        <v>507</v>
      </c>
      <c r="G174" t="s">
        <v>51</v>
      </c>
      <c r="H174" t="s">
        <v>508</v>
      </c>
      <c r="I174" t="s">
        <v>509</v>
      </c>
      <c r="J174" s="26">
        <v>46079</v>
      </c>
      <c r="K174" s="26">
        <v>46086</v>
      </c>
      <c r="L174" t="s">
        <v>29</v>
      </c>
      <c r="M174" s="20"/>
      <c r="N174" s="20"/>
      <c r="O174" s="20"/>
      <c r="P174" s="20"/>
      <c r="Q174" s="20"/>
      <c r="R174" s="20"/>
      <c r="S174" s="20"/>
      <c r="T174" s="20"/>
      <c r="U174" s="29"/>
      <c r="V174" s="20"/>
      <c r="W174" s="20"/>
      <c r="X174" s="20"/>
      <c r="Y174" s="20"/>
      <c r="Z174" s="20"/>
      <c r="AA174" s="20"/>
      <c r="AB174" s="20"/>
      <c r="AC174" s="20"/>
    </row>
    <row r="175" spans="2:29" ht="29.1">
      <c r="B175" t="s">
        <v>510</v>
      </c>
      <c r="C175" t="s">
        <v>22</v>
      </c>
      <c r="D175" t="s">
        <v>453</v>
      </c>
      <c r="E175" t="s">
        <v>500</v>
      </c>
      <c r="F175" s="1" t="s">
        <v>511</v>
      </c>
      <c r="G175" t="s">
        <v>26</v>
      </c>
      <c r="H175" t="s">
        <v>512</v>
      </c>
      <c r="I175" t="s">
        <v>509</v>
      </c>
      <c r="J175" s="26">
        <v>46072</v>
      </c>
      <c r="K175" s="26">
        <v>46086</v>
      </c>
      <c r="L175" t="s">
        <v>29</v>
      </c>
      <c r="M175" s="20"/>
      <c r="N175" s="20"/>
      <c r="O175" s="20"/>
      <c r="P175" s="20"/>
      <c r="Q175" s="20"/>
      <c r="R175" s="20"/>
      <c r="S175" s="20"/>
      <c r="T175" s="20"/>
      <c r="U175" s="29"/>
      <c r="V175" s="20"/>
      <c r="W175" s="20"/>
      <c r="X175" s="20"/>
      <c r="Y175" s="20"/>
      <c r="Z175" s="20"/>
      <c r="AA175" s="20"/>
      <c r="AB175" s="20"/>
      <c r="AC175" s="20"/>
    </row>
    <row r="176" spans="2:29" ht="14.45">
      <c r="B176" t="s">
        <v>513</v>
      </c>
      <c r="C176" t="s">
        <v>22</v>
      </c>
      <c r="D176" t="s">
        <v>453</v>
      </c>
      <c r="E176" t="s">
        <v>500</v>
      </c>
      <c r="F176" s="1" t="s">
        <v>514</v>
      </c>
      <c r="G176" t="s">
        <v>26</v>
      </c>
      <c r="H176" t="s">
        <v>508</v>
      </c>
      <c r="I176" t="s">
        <v>509</v>
      </c>
      <c r="J176" s="26">
        <v>46072</v>
      </c>
      <c r="K176" s="26">
        <v>46086</v>
      </c>
      <c r="L176" t="s">
        <v>29</v>
      </c>
      <c r="M176" s="20"/>
      <c r="N176" s="20"/>
      <c r="O176" s="20"/>
      <c r="P176" s="20"/>
      <c r="Q176" s="20"/>
      <c r="R176" s="20"/>
      <c r="S176" s="20"/>
      <c r="T176" s="20"/>
      <c r="U176" s="20"/>
      <c r="V176" s="29"/>
      <c r="W176" s="20"/>
      <c r="X176" s="20"/>
      <c r="Y176" s="20"/>
      <c r="Z176" s="20"/>
      <c r="AA176" s="20"/>
      <c r="AB176" s="20"/>
      <c r="AC176" s="20"/>
    </row>
    <row r="177" spans="2:29" ht="14.45">
      <c r="B177" t="s">
        <v>515</v>
      </c>
      <c r="C177" t="s">
        <v>22</v>
      </c>
      <c r="D177" t="s">
        <v>453</v>
      </c>
      <c r="E177" t="s">
        <v>500</v>
      </c>
      <c r="F177" s="1" t="s">
        <v>516</v>
      </c>
      <c r="G177" t="s">
        <v>144</v>
      </c>
      <c r="H177" t="s">
        <v>190</v>
      </c>
      <c r="I177" t="s">
        <v>509</v>
      </c>
      <c r="J177" s="26">
        <v>46079</v>
      </c>
      <c r="K177" s="26">
        <v>46093</v>
      </c>
      <c r="L177" t="s">
        <v>29</v>
      </c>
      <c r="M177" s="20"/>
      <c r="N177" s="20"/>
      <c r="O177" s="20"/>
      <c r="P177" s="20"/>
      <c r="Q177" s="20"/>
      <c r="R177" s="29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2:29" ht="14.45">
      <c r="B178" t="s">
        <v>517</v>
      </c>
      <c r="C178" t="s">
        <v>22</v>
      </c>
      <c r="D178" t="s">
        <v>453</v>
      </c>
      <c r="E178" t="s">
        <v>500</v>
      </c>
      <c r="F178" s="1" t="s">
        <v>518</v>
      </c>
      <c r="G178" t="s">
        <v>26</v>
      </c>
      <c r="H178" t="s">
        <v>190</v>
      </c>
      <c r="I178" t="s">
        <v>509</v>
      </c>
      <c r="J178" s="26">
        <v>46086</v>
      </c>
      <c r="K178" s="26">
        <v>46093</v>
      </c>
      <c r="L178" t="s">
        <v>29</v>
      </c>
      <c r="M178" s="20"/>
      <c r="N178" s="20"/>
      <c r="O178" s="20"/>
      <c r="P178" s="20"/>
      <c r="Q178" s="20"/>
      <c r="R178" s="29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2:29" ht="14.45">
      <c r="B179" t="s">
        <v>519</v>
      </c>
      <c r="C179" t="s">
        <v>22</v>
      </c>
      <c r="D179" t="s">
        <v>453</v>
      </c>
      <c r="E179" t="s">
        <v>500</v>
      </c>
      <c r="F179" s="1" t="s">
        <v>520</v>
      </c>
      <c r="G179" t="s">
        <v>144</v>
      </c>
      <c r="H179" t="s">
        <v>190</v>
      </c>
      <c r="I179" t="s">
        <v>509</v>
      </c>
      <c r="J179" s="26">
        <v>46086</v>
      </c>
      <c r="K179" s="26">
        <v>46093</v>
      </c>
      <c r="L179" t="s">
        <v>29</v>
      </c>
      <c r="M179" s="20"/>
      <c r="N179" s="20"/>
      <c r="O179" s="20"/>
      <c r="P179" s="20"/>
      <c r="Q179" s="20"/>
      <c r="R179" s="29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2:29" ht="14.45">
      <c r="B180" t="s">
        <v>521</v>
      </c>
      <c r="C180" t="s">
        <v>22</v>
      </c>
      <c r="D180" t="s">
        <v>453</v>
      </c>
      <c r="E180" t="s">
        <v>500</v>
      </c>
      <c r="F180" s="1" t="s">
        <v>522</v>
      </c>
      <c r="G180" t="s">
        <v>26</v>
      </c>
      <c r="H180" t="s">
        <v>190</v>
      </c>
      <c r="I180" t="s">
        <v>509</v>
      </c>
      <c r="J180" s="26">
        <v>46086</v>
      </c>
      <c r="K180" s="26">
        <v>46100</v>
      </c>
      <c r="L180" t="s">
        <v>29</v>
      </c>
      <c r="M180" s="20"/>
      <c r="N180" s="20"/>
      <c r="O180" s="20"/>
      <c r="P180" s="20"/>
      <c r="Q180" s="20"/>
      <c r="R180" s="20"/>
      <c r="S180" s="29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2:29" ht="29.1">
      <c r="B181" t="s">
        <v>523</v>
      </c>
      <c r="C181" t="s">
        <v>22</v>
      </c>
      <c r="D181" t="s">
        <v>453</v>
      </c>
      <c r="E181" t="s">
        <v>500</v>
      </c>
      <c r="F181" s="1" t="s">
        <v>524</v>
      </c>
      <c r="G181" t="s">
        <v>26</v>
      </c>
      <c r="H181" t="s">
        <v>525</v>
      </c>
      <c r="I181" t="s">
        <v>509</v>
      </c>
      <c r="J181" s="26">
        <v>46093</v>
      </c>
      <c r="K181" s="26">
        <v>46100</v>
      </c>
      <c r="L181" t="s">
        <v>29</v>
      </c>
      <c r="M181" s="20"/>
      <c r="N181" s="20"/>
      <c r="O181" s="20"/>
      <c r="P181" s="20"/>
      <c r="Q181" s="20"/>
      <c r="R181" s="20"/>
      <c r="S181" s="29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2:29" ht="14.45">
      <c r="B182" t="s">
        <v>526</v>
      </c>
      <c r="C182" t="s">
        <v>22</v>
      </c>
      <c r="D182" t="s">
        <v>453</v>
      </c>
      <c r="E182" t="s">
        <v>500</v>
      </c>
      <c r="F182" s="1" t="s">
        <v>527</v>
      </c>
      <c r="G182" t="s">
        <v>26</v>
      </c>
      <c r="H182" t="s">
        <v>190</v>
      </c>
      <c r="I182" t="s">
        <v>509</v>
      </c>
      <c r="J182" s="26">
        <v>46100</v>
      </c>
      <c r="K182" s="26">
        <v>46114</v>
      </c>
      <c r="L182" t="s">
        <v>29</v>
      </c>
      <c r="M182" s="20"/>
      <c r="N182" s="20"/>
      <c r="O182" s="20"/>
      <c r="P182" s="20"/>
      <c r="Q182" s="20"/>
      <c r="R182" s="20"/>
      <c r="S182" s="20"/>
      <c r="T182" s="29"/>
      <c r="U182" s="29"/>
      <c r="V182" s="20"/>
      <c r="W182" s="20"/>
      <c r="X182" s="20"/>
      <c r="Y182" s="20"/>
      <c r="Z182" s="20"/>
      <c r="AA182" s="20"/>
      <c r="AB182" s="20"/>
      <c r="AC182" s="20"/>
    </row>
    <row r="183" spans="2:29" ht="14.45">
      <c r="B183" t="s">
        <v>528</v>
      </c>
      <c r="C183" t="s">
        <v>22</v>
      </c>
      <c r="D183" t="s">
        <v>453</v>
      </c>
      <c r="E183" t="s">
        <v>500</v>
      </c>
      <c r="F183" s="1" t="s">
        <v>529</v>
      </c>
      <c r="G183" t="s">
        <v>144</v>
      </c>
      <c r="H183" t="s">
        <v>190</v>
      </c>
      <c r="I183" t="s">
        <v>509</v>
      </c>
      <c r="J183" s="26">
        <v>46100</v>
      </c>
      <c r="K183" s="26">
        <v>46114</v>
      </c>
      <c r="L183" t="s">
        <v>29</v>
      </c>
      <c r="M183" s="20"/>
      <c r="N183" s="20"/>
      <c r="O183" s="20"/>
      <c r="P183" s="20"/>
      <c r="Q183" s="20"/>
      <c r="R183" s="20"/>
      <c r="S183" s="20"/>
      <c r="T183" s="29"/>
      <c r="U183" s="29"/>
      <c r="V183" s="20"/>
      <c r="W183" s="20"/>
      <c r="X183" s="20"/>
      <c r="Y183" s="20"/>
      <c r="Z183" s="20"/>
      <c r="AA183" s="20"/>
      <c r="AB183" s="20"/>
      <c r="AC183" s="20"/>
    </row>
    <row r="184" spans="2:29" ht="14.45">
      <c r="B184" t="s">
        <v>530</v>
      </c>
      <c r="C184" t="s">
        <v>22</v>
      </c>
      <c r="D184" t="s">
        <v>453</v>
      </c>
      <c r="E184" t="s">
        <v>500</v>
      </c>
      <c r="F184" s="1" t="s">
        <v>531</v>
      </c>
      <c r="G184" t="s">
        <v>26</v>
      </c>
      <c r="H184" t="s">
        <v>190</v>
      </c>
      <c r="I184" t="s">
        <v>509</v>
      </c>
      <c r="J184" s="26">
        <v>46107</v>
      </c>
      <c r="K184" s="26">
        <v>46114</v>
      </c>
      <c r="L184" t="s">
        <v>29</v>
      </c>
      <c r="M184" s="20"/>
      <c r="N184" s="20"/>
      <c r="O184" s="20"/>
      <c r="P184" s="20"/>
      <c r="Q184" s="20"/>
      <c r="R184" s="20"/>
      <c r="S184" s="20"/>
      <c r="T184" s="20"/>
      <c r="U184" s="29"/>
      <c r="V184" s="20"/>
      <c r="W184" s="20"/>
      <c r="X184" s="20"/>
      <c r="Y184" s="20"/>
      <c r="Z184" s="20"/>
      <c r="AA184" s="20"/>
      <c r="AB184" s="20"/>
      <c r="AC184" s="20"/>
    </row>
    <row r="185" spans="2:29" ht="14.45">
      <c r="B185" t="s">
        <v>532</v>
      </c>
      <c r="C185" t="s">
        <v>22</v>
      </c>
      <c r="D185" t="s">
        <v>453</v>
      </c>
      <c r="E185" t="s">
        <v>500</v>
      </c>
      <c r="F185" s="1" t="s">
        <v>533</v>
      </c>
      <c r="G185" t="s">
        <v>144</v>
      </c>
      <c r="H185" t="s">
        <v>190</v>
      </c>
      <c r="I185" t="s">
        <v>509</v>
      </c>
      <c r="J185" s="26">
        <v>46107</v>
      </c>
      <c r="K185" s="26">
        <v>46114</v>
      </c>
      <c r="L185" t="s">
        <v>29</v>
      </c>
      <c r="M185" s="20"/>
      <c r="N185" s="20"/>
      <c r="O185" s="20"/>
      <c r="P185" s="20"/>
      <c r="Q185" s="20"/>
      <c r="R185" s="20"/>
      <c r="S185" s="20"/>
      <c r="T185" s="20"/>
      <c r="U185" s="29"/>
      <c r="V185" s="20"/>
      <c r="W185" s="20"/>
      <c r="X185" s="20"/>
      <c r="Y185" s="20"/>
      <c r="Z185" s="20"/>
      <c r="AA185" s="20"/>
      <c r="AB185" s="20"/>
      <c r="AC185" s="20"/>
    </row>
    <row r="186" spans="2:29" ht="14.45">
      <c r="B186" t="s">
        <v>534</v>
      </c>
      <c r="C186" t="s">
        <v>22</v>
      </c>
      <c r="D186" t="s">
        <v>453</v>
      </c>
      <c r="E186" t="s">
        <v>500</v>
      </c>
      <c r="F186" s="1" t="s">
        <v>535</v>
      </c>
      <c r="G186" t="s">
        <v>26</v>
      </c>
      <c r="H186" t="s">
        <v>190</v>
      </c>
      <c r="I186" t="s">
        <v>509</v>
      </c>
      <c r="J186" s="26">
        <v>46114</v>
      </c>
      <c r="K186" s="26">
        <v>46121</v>
      </c>
      <c r="L186" t="s">
        <v>29</v>
      </c>
      <c r="M186" s="20"/>
      <c r="N186" s="20"/>
      <c r="O186" s="20"/>
      <c r="P186" s="20"/>
      <c r="Q186" s="20"/>
      <c r="R186" s="20"/>
      <c r="S186" s="20"/>
      <c r="T186" s="20"/>
      <c r="U186" s="20"/>
      <c r="V186" s="29"/>
      <c r="W186" s="20"/>
      <c r="X186" s="20"/>
      <c r="Y186" s="20"/>
      <c r="Z186" s="20"/>
      <c r="AA186" s="20"/>
      <c r="AB186" s="20"/>
      <c r="AC186" s="20"/>
    </row>
    <row r="187" spans="2:29" ht="14.45">
      <c r="B187" t="s">
        <v>536</v>
      </c>
      <c r="C187" t="s">
        <v>22</v>
      </c>
      <c r="D187" t="s">
        <v>453</v>
      </c>
      <c r="E187" t="s">
        <v>500</v>
      </c>
      <c r="F187" s="1" t="s">
        <v>537</v>
      </c>
      <c r="G187" t="s">
        <v>26</v>
      </c>
      <c r="H187" t="s">
        <v>538</v>
      </c>
      <c r="I187" t="s">
        <v>457</v>
      </c>
      <c r="J187" s="26">
        <v>46086</v>
      </c>
      <c r="K187" s="26">
        <v>46093</v>
      </c>
      <c r="L187" t="s">
        <v>29</v>
      </c>
      <c r="M187" s="20"/>
      <c r="N187" s="20"/>
      <c r="O187" s="20"/>
      <c r="P187" s="20"/>
      <c r="Q187" s="20"/>
      <c r="R187" s="20"/>
      <c r="S187" s="20"/>
      <c r="T187" s="20"/>
      <c r="U187" s="20"/>
      <c r="V187" s="29"/>
      <c r="W187" s="20"/>
      <c r="X187" s="20"/>
      <c r="Y187" s="20"/>
      <c r="Z187" s="20"/>
      <c r="AA187" s="20"/>
      <c r="AB187" s="20"/>
      <c r="AC187" s="20"/>
    </row>
    <row r="188" spans="2:29" ht="29.1">
      <c r="B188" t="s">
        <v>539</v>
      </c>
      <c r="C188" t="s">
        <v>22</v>
      </c>
      <c r="D188" t="s">
        <v>453</v>
      </c>
      <c r="E188" t="s">
        <v>500</v>
      </c>
      <c r="F188" s="1" t="s">
        <v>540</v>
      </c>
      <c r="G188" t="s">
        <v>117</v>
      </c>
      <c r="H188" t="s">
        <v>541</v>
      </c>
      <c r="I188" t="s">
        <v>457</v>
      </c>
      <c r="J188" s="26">
        <v>46086</v>
      </c>
      <c r="K188" s="26">
        <v>46093</v>
      </c>
      <c r="L188" t="s">
        <v>29</v>
      </c>
      <c r="M188" s="20"/>
      <c r="N188" s="20"/>
      <c r="O188" s="20"/>
      <c r="P188" s="20"/>
      <c r="Q188" s="20"/>
      <c r="R188" s="20"/>
      <c r="S188" s="20"/>
      <c r="T188" s="20"/>
      <c r="U188" s="20"/>
      <c r="V188" s="29"/>
      <c r="W188" s="20"/>
      <c r="X188" s="20"/>
      <c r="Y188" s="20"/>
      <c r="Z188" s="20"/>
      <c r="AA188" s="20"/>
      <c r="AB188" s="20"/>
      <c r="AC188" s="20"/>
    </row>
    <row r="189" spans="2:29" ht="29.1">
      <c r="B189" t="s">
        <v>542</v>
      </c>
      <c r="C189" t="s">
        <v>22</v>
      </c>
      <c r="D189" t="s">
        <v>453</v>
      </c>
      <c r="E189" t="s">
        <v>500</v>
      </c>
      <c r="F189" s="1" t="s">
        <v>543</v>
      </c>
      <c r="G189" t="s">
        <v>26</v>
      </c>
      <c r="H189" t="s">
        <v>541</v>
      </c>
      <c r="I189" t="s">
        <v>457</v>
      </c>
      <c r="J189" s="26">
        <v>46086</v>
      </c>
      <c r="K189" s="26">
        <v>46093</v>
      </c>
      <c r="L189" t="s">
        <v>29</v>
      </c>
      <c r="M189" s="20"/>
      <c r="N189" s="20"/>
      <c r="O189" s="20"/>
      <c r="P189" s="20"/>
      <c r="Q189" s="20"/>
      <c r="R189" s="20"/>
      <c r="S189" s="20"/>
      <c r="T189" s="20"/>
      <c r="U189" s="20"/>
      <c r="V189" s="29"/>
      <c r="W189" s="20"/>
      <c r="X189" s="20"/>
      <c r="Y189" s="20"/>
      <c r="Z189" s="20"/>
      <c r="AA189" s="20"/>
      <c r="AB189" s="20"/>
      <c r="AC189" s="20"/>
    </row>
    <row r="190" spans="2:29" ht="14.45">
      <c r="B190" t="s">
        <v>544</v>
      </c>
      <c r="C190" t="s">
        <v>22</v>
      </c>
      <c r="D190" t="s">
        <v>453</v>
      </c>
      <c r="E190" t="s">
        <v>500</v>
      </c>
      <c r="F190" s="1" t="s">
        <v>545</v>
      </c>
      <c r="G190" t="s">
        <v>26</v>
      </c>
      <c r="H190" t="s">
        <v>190</v>
      </c>
      <c r="I190" t="s">
        <v>457</v>
      </c>
      <c r="J190" s="26">
        <v>46093</v>
      </c>
      <c r="K190" s="26">
        <v>46135</v>
      </c>
      <c r="L190" t="s">
        <v>29</v>
      </c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9"/>
      <c r="X190" s="20"/>
      <c r="Y190" s="20"/>
      <c r="Z190" s="20"/>
      <c r="AA190" s="20"/>
      <c r="AB190" s="20"/>
      <c r="AC190" s="20"/>
    </row>
    <row r="191" spans="2:29" ht="14.45">
      <c r="B191" t="s">
        <v>546</v>
      </c>
      <c r="C191" t="s">
        <v>22</v>
      </c>
      <c r="D191" t="s">
        <v>453</v>
      </c>
      <c r="E191" t="s">
        <v>500</v>
      </c>
      <c r="F191" s="1" t="s">
        <v>547</v>
      </c>
      <c r="G191" t="s">
        <v>51</v>
      </c>
      <c r="H191" t="s">
        <v>541</v>
      </c>
      <c r="I191" t="s">
        <v>457</v>
      </c>
      <c r="J191" s="26">
        <v>46093</v>
      </c>
      <c r="K191" s="26">
        <v>46100</v>
      </c>
      <c r="L191" t="s">
        <v>29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9"/>
      <c r="X191" s="20"/>
      <c r="Y191" s="20"/>
      <c r="Z191" s="20"/>
      <c r="AA191" s="20"/>
      <c r="AB191" s="20"/>
      <c r="AC191" s="20"/>
    </row>
    <row r="192" spans="2:29" ht="14.45">
      <c r="B192" t="s">
        <v>548</v>
      </c>
      <c r="C192" t="s">
        <v>22</v>
      </c>
      <c r="D192" t="s">
        <v>453</v>
      </c>
      <c r="E192" t="s">
        <v>500</v>
      </c>
      <c r="F192" s="1" t="s">
        <v>549</v>
      </c>
      <c r="G192" t="s">
        <v>32</v>
      </c>
      <c r="H192" t="s">
        <v>190</v>
      </c>
      <c r="I192" t="s">
        <v>463</v>
      </c>
      <c r="J192" s="26">
        <v>46165</v>
      </c>
      <c r="K192" s="26">
        <v>46149</v>
      </c>
      <c r="L192" t="s">
        <v>29</v>
      </c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9"/>
      <c r="Y192" s="20"/>
      <c r="Z192" s="20"/>
      <c r="AA192" s="20"/>
      <c r="AB192" s="20"/>
      <c r="AC192" s="20"/>
    </row>
    <row r="193" spans="2:29" ht="14.45">
      <c r="B193" t="s">
        <v>550</v>
      </c>
      <c r="C193" t="s">
        <v>22</v>
      </c>
      <c r="D193" t="s">
        <v>453</v>
      </c>
      <c r="E193" t="s">
        <v>500</v>
      </c>
      <c r="F193" s="1" t="s">
        <v>551</v>
      </c>
      <c r="G193" t="s">
        <v>26</v>
      </c>
      <c r="H193" t="s">
        <v>190</v>
      </c>
      <c r="I193" t="s">
        <v>457</v>
      </c>
      <c r="J193" s="26">
        <f>K190</f>
        <v>46135</v>
      </c>
      <c r="K193" s="26">
        <v>46147</v>
      </c>
      <c r="L193" t="s">
        <v>479</v>
      </c>
      <c r="M193" s="20"/>
      <c r="N193" s="20"/>
      <c r="O193" s="20"/>
      <c r="P193" s="20"/>
      <c r="Q193" s="20"/>
      <c r="R193" s="20"/>
      <c r="S193" s="20"/>
      <c r="T193" s="20"/>
      <c r="U193" s="20"/>
      <c r="V193" s="29"/>
      <c r="W193" s="20"/>
      <c r="X193" s="20"/>
      <c r="Y193" s="20"/>
      <c r="Z193" s="20"/>
      <c r="AA193" s="20"/>
      <c r="AB193" s="20"/>
      <c r="AC193" s="20"/>
    </row>
    <row r="194" spans="2:29" ht="14.45">
      <c r="B194" t="s">
        <v>552</v>
      </c>
      <c r="C194" t="s">
        <v>22</v>
      </c>
      <c r="D194" t="s">
        <v>453</v>
      </c>
      <c r="E194" t="s">
        <v>500</v>
      </c>
      <c r="F194" s="1" t="s">
        <v>553</v>
      </c>
      <c r="G194" t="s">
        <v>26</v>
      </c>
      <c r="H194" t="s">
        <v>190</v>
      </c>
      <c r="I194" t="s">
        <v>457</v>
      </c>
      <c r="J194" s="26">
        <v>46142</v>
      </c>
      <c r="K194" s="26">
        <v>46149</v>
      </c>
      <c r="L194" t="s">
        <v>33</v>
      </c>
      <c r="M194" s="20"/>
      <c r="N194" s="20"/>
      <c r="O194" s="20"/>
      <c r="P194" s="20"/>
      <c r="Q194" s="20"/>
      <c r="R194" s="20"/>
      <c r="S194" s="20"/>
      <c r="T194" s="20"/>
      <c r="U194" s="20"/>
      <c r="V194" s="29"/>
      <c r="W194" s="20"/>
      <c r="X194" s="20"/>
      <c r="Y194" s="20"/>
      <c r="Z194" s="20"/>
      <c r="AA194" s="20"/>
      <c r="AB194" s="20"/>
      <c r="AC194" s="20"/>
    </row>
    <row r="195" spans="2:29" ht="29.1">
      <c r="B195" t="s">
        <v>554</v>
      </c>
      <c r="C195" t="s">
        <v>22</v>
      </c>
      <c r="D195" t="s">
        <v>453</v>
      </c>
      <c r="E195" t="s">
        <v>500</v>
      </c>
      <c r="F195" s="1" t="s">
        <v>555</v>
      </c>
      <c r="G195" t="s">
        <v>26</v>
      </c>
      <c r="H195" t="s">
        <v>538</v>
      </c>
      <c r="I195" t="s">
        <v>457</v>
      </c>
      <c r="J195" s="26">
        <v>46107</v>
      </c>
      <c r="K195" s="26">
        <v>46114</v>
      </c>
      <c r="L195" t="s">
        <v>29</v>
      </c>
      <c r="M195" s="20"/>
      <c r="N195" s="20"/>
      <c r="O195" s="20"/>
      <c r="P195" s="20"/>
      <c r="Q195" s="20"/>
      <c r="R195" s="20"/>
      <c r="S195" s="20"/>
      <c r="T195" s="20"/>
      <c r="U195" s="20"/>
      <c r="V195" s="29"/>
      <c r="W195" s="20"/>
      <c r="X195" s="20"/>
      <c r="Y195" s="20"/>
      <c r="Z195" s="20"/>
      <c r="AA195" s="20"/>
      <c r="AB195" s="20"/>
      <c r="AC195" s="20"/>
    </row>
    <row r="196" spans="2:29" ht="29.1">
      <c r="B196" t="s">
        <v>556</v>
      </c>
      <c r="C196" t="s">
        <v>22</v>
      </c>
      <c r="D196" t="s">
        <v>453</v>
      </c>
      <c r="E196" t="s">
        <v>500</v>
      </c>
      <c r="F196" s="1" t="s">
        <v>557</v>
      </c>
      <c r="G196" t="s">
        <v>117</v>
      </c>
      <c r="H196" t="s">
        <v>190</v>
      </c>
      <c r="I196" t="s">
        <v>457</v>
      </c>
      <c r="J196" s="26">
        <v>46135</v>
      </c>
      <c r="K196" s="26">
        <v>46140</v>
      </c>
      <c r="L196" t="s">
        <v>29</v>
      </c>
      <c r="M196" s="20"/>
      <c r="N196" s="20"/>
      <c r="O196" s="20"/>
      <c r="P196" s="20"/>
      <c r="Q196" s="20"/>
      <c r="R196" s="20"/>
      <c r="S196" s="20"/>
      <c r="T196" s="20"/>
      <c r="U196" s="20"/>
      <c r="V196" s="29"/>
      <c r="W196" s="20"/>
      <c r="X196" s="20"/>
      <c r="Y196" s="20"/>
      <c r="Z196" s="20"/>
      <c r="AA196" s="20"/>
      <c r="AB196" s="20"/>
      <c r="AC196" s="20"/>
    </row>
    <row r="197" spans="2:29" ht="29.1">
      <c r="B197" t="s">
        <v>558</v>
      </c>
      <c r="C197" t="s">
        <v>22</v>
      </c>
      <c r="D197" t="s">
        <v>453</v>
      </c>
      <c r="E197" t="s">
        <v>500</v>
      </c>
      <c r="F197" s="1" t="s">
        <v>559</v>
      </c>
      <c r="G197" t="s">
        <v>26</v>
      </c>
      <c r="H197" t="s">
        <v>190</v>
      </c>
      <c r="I197" t="s">
        <v>457</v>
      </c>
      <c r="J197" s="26">
        <v>46135</v>
      </c>
      <c r="K197" s="26">
        <v>46140</v>
      </c>
      <c r="L197" t="s">
        <v>479</v>
      </c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9"/>
      <c r="X197" s="20"/>
      <c r="Y197" s="20"/>
      <c r="Z197" s="20"/>
      <c r="AA197" s="20"/>
      <c r="AB197" s="20"/>
      <c r="AC197" s="20"/>
    </row>
    <row r="198" spans="2:29" ht="12.75" customHeight="1">
      <c r="B198" t="s">
        <v>560</v>
      </c>
      <c r="C198" t="s">
        <v>22</v>
      </c>
      <c r="D198" t="s">
        <v>453</v>
      </c>
      <c r="E198" t="s">
        <v>500</v>
      </c>
      <c r="F198" s="1" t="s">
        <v>561</v>
      </c>
      <c r="G198" t="s">
        <v>26</v>
      </c>
      <c r="H198" t="s">
        <v>190</v>
      </c>
      <c r="I198" t="s">
        <v>457</v>
      </c>
      <c r="J198" s="26">
        <v>46135</v>
      </c>
      <c r="K198" s="26">
        <v>46147</v>
      </c>
      <c r="L198" t="s">
        <v>479</v>
      </c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9"/>
      <c r="X198" s="20"/>
      <c r="Y198" s="20"/>
      <c r="Z198" s="20"/>
      <c r="AA198" s="20"/>
      <c r="AB198" s="20"/>
      <c r="AC198" s="20"/>
    </row>
    <row r="199" spans="2:29" ht="12.75" customHeight="1">
      <c r="B199" t="s">
        <v>562</v>
      </c>
      <c r="C199" t="s">
        <v>22</v>
      </c>
      <c r="D199" t="s">
        <v>453</v>
      </c>
      <c r="E199" t="s">
        <v>500</v>
      </c>
      <c r="F199" s="1" t="s">
        <v>563</v>
      </c>
      <c r="G199" t="s">
        <v>51</v>
      </c>
      <c r="H199" t="s">
        <v>541</v>
      </c>
      <c r="I199" t="s">
        <v>457</v>
      </c>
      <c r="J199" s="26">
        <v>46142</v>
      </c>
      <c r="K199" s="26">
        <v>46149</v>
      </c>
      <c r="L199" t="s">
        <v>479</v>
      </c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9"/>
      <c r="X199" s="20"/>
      <c r="Y199" s="20"/>
      <c r="Z199" s="20"/>
      <c r="AA199" s="20"/>
      <c r="AB199" s="20"/>
      <c r="AC199" s="20"/>
    </row>
    <row r="200" spans="2:29" ht="12.75" customHeight="1">
      <c r="B200" t="s">
        <v>564</v>
      </c>
      <c r="C200" t="s">
        <v>22</v>
      </c>
      <c r="D200" t="s">
        <v>453</v>
      </c>
      <c r="E200" t="s">
        <v>500</v>
      </c>
      <c r="F200" s="1" t="s">
        <v>565</v>
      </c>
      <c r="G200" t="s">
        <v>32</v>
      </c>
      <c r="H200" t="s">
        <v>190</v>
      </c>
      <c r="I200" t="s">
        <v>463</v>
      </c>
      <c r="J200" s="26">
        <v>46142</v>
      </c>
      <c r="K200" s="26">
        <v>46149</v>
      </c>
      <c r="L200" t="s">
        <v>479</v>
      </c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9"/>
      <c r="Y200" s="20"/>
      <c r="Z200" s="20"/>
      <c r="AA200" s="20"/>
      <c r="AB200" s="20"/>
      <c r="AC200" s="20"/>
    </row>
    <row r="201" spans="2:29" ht="12.75" customHeight="1">
      <c r="B201" t="s">
        <v>566</v>
      </c>
      <c r="C201" t="s">
        <v>22</v>
      </c>
      <c r="D201" t="s">
        <v>453</v>
      </c>
      <c r="E201" t="s">
        <v>500</v>
      </c>
      <c r="F201" s="1" t="s">
        <v>567</v>
      </c>
      <c r="G201" t="s">
        <v>26</v>
      </c>
      <c r="H201" t="s">
        <v>190</v>
      </c>
      <c r="I201" t="s">
        <v>457</v>
      </c>
      <c r="J201" s="26">
        <v>46135</v>
      </c>
      <c r="K201" s="26">
        <v>46147</v>
      </c>
      <c r="L201" t="s">
        <v>33</v>
      </c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9"/>
      <c r="Z201" s="20"/>
      <c r="AA201" s="20"/>
      <c r="AB201" s="20"/>
      <c r="AC201" s="20"/>
    </row>
    <row r="202" spans="2:29" ht="12.75" customHeight="1">
      <c r="B202" t="s">
        <v>568</v>
      </c>
      <c r="C202" t="s">
        <v>22</v>
      </c>
      <c r="D202" t="s">
        <v>453</v>
      </c>
      <c r="E202" t="s">
        <v>500</v>
      </c>
      <c r="F202" s="1" t="s">
        <v>569</v>
      </c>
      <c r="G202" t="s">
        <v>26</v>
      </c>
      <c r="H202" t="s">
        <v>190</v>
      </c>
      <c r="I202" t="s">
        <v>457</v>
      </c>
      <c r="J202" s="26">
        <v>46142</v>
      </c>
      <c r="K202" s="26">
        <v>46154</v>
      </c>
      <c r="L202" t="s">
        <v>33</v>
      </c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9"/>
      <c r="Y202" s="29"/>
      <c r="Z202" s="20"/>
      <c r="AA202" s="20"/>
      <c r="AB202" s="20"/>
      <c r="AC202" s="20"/>
    </row>
    <row r="203" spans="2:29" ht="12.75" customHeight="1">
      <c r="B203" t="s">
        <v>570</v>
      </c>
      <c r="C203" t="s">
        <v>22</v>
      </c>
      <c r="D203" t="s">
        <v>453</v>
      </c>
      <c r="E203" t="s">
        <v>500</v>
      </c>
      <c r="F203" s="1" t="s">
        <v>571</v>
      </c>
      <c r="G203" t="s">
        <v>26</v>
      </c>
      <c r="H203" t="s">
        <v>190</v>
      </c>
      <c r="I203" t="s">
        <v>463</v>
      </c>
      <c r="J203" s="26">
        <v>46114</v>
      </c>
      <c r="K203" s="26">
        <v>46121</v>
      </c>
      <c r="L203" t="s">
        <v>29</v>
      </c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9"/>
      <c r="Y203" s="20"/>
      <c r="Z203" s="20"/>
      <c r="AA203" s="20"/>
      <c r="AB203" s="20"/>
      <c r="AC203" s="20"/>
    </row>
    <row r="204" spans="2:29" ht="12.75" customHeight="1">
      <c r="B204" t="s">
        <v>572</v>
      </c>
      <c r="C204" t="s">
        <v>22</v>
      </c>
      <c r="D204" t="s">
        <v>453</v>
      </c>
      <c r="E204" t="s">
        <v>500</v>
      </c>
      <c r="F204" s="1" t="s">
        <v>573</v>
      </c>
      <c r="G204" t="s">
        <v>26</v>
      </c>
      <c r="H204" t="s">
        <v>190</v>
      </c>
      <c r="I204" t="s">
        <v>463</v>
      </c>
      <c r="J204" s="26">
        <v>46114</v>
      </c>
      <c r="K204" s="26">
        <v>46121</v>
      </c>
      <c r="L204" t="s">
        <v>29</v>
      </c>
      <c r="M204" s="24"/>
      <c r="N204" s="24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2:29" ht="12.75" customHeight="1">
      <c r="B205" t="s">
        <v>574</v>
      </c>
      <c r="C205" t="s">
        <v>22</v>
      </c>
      <c r="D205" t="s">
        <v>453</v>
      </c>
      <c r="E205" t="s">
        <v>500</v>
      </c>
      <c r="F205" s="1" t="s">
        <v>575</v>
      </c>
      <c r="G205" t="s">
        <v>51</v>
      </c>
      <c r="H205" t="s">
        <v>576</v>
      </c>
      <c r="I205" t="s">
        <v>463</v>
      </c>
      <c r="J205" s="26">
        <v>46142</v>
      </c>
      <c r="K205" s="26">
        <v>46154</v>
      </c>
      <c r="L205" t="s">
        <v>479</v>
      </c>
      <c r="M205" s="24"/>
      <c r="N205" s="24"/>
      <c r="O205" s="24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2:29" ht="12.75" customHeight="1">
      <c r="B206" t="s">
        <v>577</v>
      </c>
      <c r="C206" t="s">
        <v>22</v>
      </c>
      <c r="D206" t="s">
        <v>453</v>
      </c>
      <c r="E206" t="s">
        <v>500</v>
      </c>
      <c r="F206" s="1" t="s">
        <v>578</v>
      </c>
      <c r="G206" t="s">
        <v>579</v>
      </c>
      <c r="H206" t="s">
        <v>580</v>
      </c>
      <c r="I206" t="s">
        <v>463</v>
      </c>
      <c r="J206" s="26">
        <v>46156</v>
      </c>
      <c r="K206" s="26">
        <v>46163</v>
      </c>
      <c r="L206" t="s">
        <v>33</v>
      </c>
      <c r="M206" s="28"/>
      <c r="N206" s="28"/>
      <c r="O206" s="28"/>
      <c r="P206" s="28"/>
      <c r="Q206" s="24"/>
      <c r="R206" s="24"/>
      <c r="S206" s="24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2:29" ht="14.45">
      <c r="B207" t="s">
        <v>581</v>
      </c>
      <c r="C207" t="s">
        <v>22</v>
      </c>
      <c r="D207" t="s">
        <v>453</v>
      </c>
      <c r="E207" t="s">
        <v>500</v>
      </c>
      <c r="F207" s="1" t="s">
        <v>582</v>
      </c>
      <c r="G207" t="s">
        <v>111</v>
      </c>
      <c r="H207" t="s">
        <v>190</v>
      </c>
      <c r="I207" t="s">
        <v>463</v>
      </c>
      <c r="J207" s="27">
        <v>46156</v>
      </c>
      <c r="K207" s="27">
        <v>46163</v>
      </c>
      <c r="L207" t="s">
        <v>33</v>
      </c>
      <c r="M207" s="28"/>
      <c r="N207" s="28"/>
      <c r="O207" s="28"/>
      <c r="P207" s="28"/>
      <c r="Q207" s="24"/>
      <c r="R207" s="24"/>
      <c r="S207" s="24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2:29" ht="14.45">
      <c r="B208" t="s">
        <v>583</v>
      </c>
      <c r="C208" t="s">
        <v>22</v>
      </c>
      <c r="D208" t="s">
        <v>453</v>
      </c>
      <c r="E208" t="s">
        <v>500</v>
      </c>
      <c r="F208" s="1" t="s">
        <v>584</v>
      </c>
      <c r="G208" t="s">
        <v>111</v>
      </c>
      <c r="H208" t="s">
        <v>190</v>
      </c>
      <c r="I208" t="s">
        <v>463</v>
      </c>
      <c r="J208" s="27">
        <v>46156</v>
      </c>
      <c r="K208" s="27">
        <v>46163</v>
      </c>
      <c r="L208" t="s">
        <v>33</v>
      </c>
      <c r="M208" s="20"/>
      <c r="N208" s="20"/>
      <c r="O208" s="20"/>
      <c r="P208" s="20"/>
      <c r="Q208" s="20"/>
      <c r="R208" s="20"/>
      <c r="S208" s="20"/>
      <c r="T208" s="25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2:29" ht="14.45">
      <c r="B209" t="s">
        <v>585</v>
      </c>
      <c r="C209" t="s">
        <v>22</v>
      </c>
      <c r="D209" t="s">
        <v>453</v>
      </c>
      <c r="E209" t="s">
        <v>500</v>
      </c>
      <c r="F209" s="1" t="s">
        <v>586</v>
      </c>
      <c r="G209" t="s">
        <v>111</v>
      </c>
      <c r="H209" t="s">
        <v>190</v>
      </c>
      <c r="I209" t="s">
        <v>509</v>
      </c>
      <c r="J209" s="27">
        <v>46163</v>
      </c>
      <c r="K209" s="27">
        <v>46140</v>
      </c>
      <c r="L209" t="s">
        <v>479</v>
      </c>
      <c r="M209" s="20"/>
      <c r="N209" s="20"/>
      <c r="O209" s="20"/>
      <c r="P209" s="20"/>
      <c r="Q209" s="24"/>
      <c r="R209" s="24"/>
      <c r="S209" s="24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2:29" ht="14.45">
      <c r="B210" t="s">
        <v>587</v>
      </c>
      <c r="C210" t="s">
        <v>22</v>
      </c>
      <c r="D210" t="s">
        <v>453</v>
      </c>
      <c r="E210" t="s">
        <v>500</v>
      </c>
      <c r="F210" s="1" t="s">
        <v>588</v>
      </c>
      <c r="G210" t="s">
        <v>111</v>
      </c>
      <c r="H210" t="s">
        <v>190</v>
      </c>
      <c r="I210" t="s">
        <v>463</v>
      </c>
      <c r="J210" s="26">
        <v>46156</v>
      </c>
      <c r="K210" s="26">
        <v>46163</v>
      </c>
      <c r="L210" t="s">
        <v>33</v>
      </c>
      <c r="M210" s="20"/>
      <c r="N210" s="20"/>
      <c r="O210" s="20"/>
      <c r="P210" s="20"/>
      <c r="Q210" s="24"/>
      <c r="R210" s="24"/>
      <c r="S210" s="24"/>
      <c r="T210" s="24"/>
      <c r="U210" s="24"/>
      <c r="V210" s="24"/>
      <c r="W210" s="20"/>
      <c r="X210" s="20"/>
      <c r="Y210" s="20"/>
      <c r="Z210" s="20"/>
      <c r="AA210" s="20"/>
      <c r="AB210" s="20"/>
      <c r="AC210" s="20"/>
    </row>
    <row r="211" spans="2:29" ht="14.45">
      <c r="B211" t="s">
        <v>589</v>
      </c>
      <c r="C211" t="s">
        <v>22</v>
      </c>
      <c r="D211" t="s">
        <v>453</v>
      </c>
      <c r="E211" t="s">
        <v>500</v>
      </c>
      <c r="F211" s="1" t="s">
        <v>590</v>
      </c>
      <c r="G211" t="s">
        <v>111</v>
      </c>
      <c r="H211" t="s">
        <v>190</v>
      </c>
      <c r="I211" t="s">
        <v>463</v>
      </c>
      <c r="J211" s="27">
        <v>46156</v>
      </c>
      <c r="K211" s="27">
        <v>46163</v>
      </c>
      <c r="L211" t="s">
        <v>33</v>
      </c>
      <c r="M211" s="20"/>
      <c r="N211" s="20"/>
      <c r="O211" s="20"/>
      <c r="P211" s="20"/>
      <c r="Q211" s="24"/>
      <c r="R211" s="24"/>
      <c r="S211" s="24"/>
      <c r="T211" s="24"/>
      <c r="U211" s="24"/>
      <c r="V211" s="24"/>
      <c r="W211" s="20"/>
      <c r="X211" s="20"/>
      <c r="Y211" s="20"/>
      <c r="Z211" s="20"/>
      <c r="AA211" s="20"/>
      <c r="AB211" s="20"/>
      <c r="AC211" s="20"/>
    </row>
    <row r="212" spans="2:29" ht="14.45">
      <c r="B212" t="s">
        <v>591</v>
      </c>
      <c r="C212" t="s">
        <v>22</v>
      </c>
      <c r="D212" t="s">
        <v>453</v>
      </c>
      <c r="E212" t="s">
        <v>500</v>
      </c>
      <c r="F212" s="1" t="s">
        <v>592</v>
      </c>
      <c r="G212" t="s">
        <v>51</v>
      </c>
      <c r="H212" t="s">
        <v>190</v>
      </c>
      <c r="I212" t="s">
        <v>463</v>
      </c>
      <c r="J212" s="26">
        <v>46156</v>
      </c>
      <c r="K212" s="26">
        <v>46170</v>
      </c>
      <c r="L212" t="s">
        <v>33</v>
      </c>
      <c r="M212" s="20"/>
      <c r="N212" s="20"/>
      <c r="O212" s="20"/>
      <c r="P212" s="20"/>
      <c r="Q212" s="24"/>
      <c r="R212" s="24"/>
      <c r="S212" s="24"/>
      <c r="T212" s="24"/>
      <c r="U212" s="24"/>
      <c r="V212" s="24"/>
      <c r="W212" s="20"/>
      <c r="X212" s="20"/>
      <c r="Y212" s="20"/>
      <c r="Z212" s="20"/>
      <c r="AA212" s="20"/>
      <c r="AB212" s="20"/>
      <c r="AC212" s="20"/>
    </row>
    <row r="213" spans="2:29" ht="14.45">
      <c r="B213" t="s">
        <v>593</v>
      </c>
      <c r="C213" t="s">
        <v>22</v>
      </c>
      <c r="D213" t="s">
        <v>453</v>
      </c>
      <c r="E213" t="s">
        <v>113</v>
      </c>
      <c r="F213" s="1" t="s">
        <v>594</v>
      </c>
      <c r="G213" t="s">
        <v>113</v>
      </c>
      <c r="I213" t="s">
        <v>463</v>
      </c>
      <c r="J213" s="27">
        <v>46119</v>
      </c>
      <c r="K213" s="27">
        <v>46126</v>
      </c>
      <c r="L213" t="s">
        <v>33</v>
      </c>
      <c r="M213" s="20"/>
      <c r="N213" s="20"/>
      <c r="O213" s="20"/>
      <c r="P213" s="20"/>
      <c r="Q213" s="24"/>
      <c r="R213" s="24"/>
      <c r="S213" s="24"/>
      <c r="T213" s="24"/>
      <c r="U213" s="24"/>
      <c r="V213" s="24"/>
      <c r="W213" s="20"/>
      <c r="X213" s="20"/>
      <c r="Y213" s="20"/>
      <c r="Z213" s="20"/>
      <c r="AA213" s="20"/>
      <c r="AB213" s="20"/>
      <c r="AC213" s="20"/>
    </row>
    <row r="214" spans="2:29" ht="14.45">
      <c r="B214" t="s">
        <v>595</v>
      </c>
      <c r="C214" t="s">
        <v>22</v>
      </c>
      <c r="D214" t="s">
        <v>596</v>
      </c>
      <c r="E214" t="s">
        <v>113</v>
      </c>
      <c r="F214" s="1" t="s">
        <v>597</v>
      </c>
      <c r="G214" t="s">
        <v>113</v>
      </c>
      <c r="H214" t="s">
        <v>598</v>
      </c>
      <c r="I214" t="s">
        <v>599</v>
      </c>
      <c r="J214" s="26">
        <v>46048</v>
      </c>
      <c r="K214" s="26">
        <v>46052</v>
      </c>
      <c r="L214" t="s">
        <v>29</v>
      </c>
      <c r="M214" s="20"/>
      <c r="N214" s="20"/>
      <c r="O214" s="20"/>
      <c r="P214" s="20"/>
      <c r="Q214" s="24"/>
      <c r="R214" s="24"/>
      <c r="S214" s="24"/>
      <c r="T214" s="24"/>
      <c r="U214" s="24"/>
      <c r="V214" s="24"/>
      <c r="W214" s="20"/>
      <c r="X214" s="20"/>
      <c r="Y214" s="20"/>
      <c r="Z214" s="20"/>
      <c r="AA214" s="20"/>
      <c r="AB214" s="20"/>
      <c r="AC214" s="20"/>
    </row>
    <row r="215" spans="2:29" ht="14.45">
      <c r="B215" t="s">
        <v>600</v>
      </c>
      <c r="C215" t="s">
        <v>22</v>
      </c>
      <c r="D215" t="s">
        <v>596</v>
      </c>
      <c r="E215" t="s">
        <v>113</v>
      </c>
      <c r="F215" s="1" t="s">
        <v>601</v>
      </c>
      <c r="G215" t="s">
        <v>113</v>
      </c>
      <c r="H215" t="s">
        <v>598</v>
      </c>
      <c r="I215" t="s">
        <v>162</v>
      </c>
      <c r="J215" s="26">
        <v>46058</v>
      </c>
      <c r="K215" s="26">
        <v>46072</v>
      </c>
      <c r="L215" t="s">
        <v>29</v>
      </c>
      <c r="M215" s="20"/>
      <c r="N215" s="20"/>
      <c r="O215" s="20"/>
      <c r="P215" s="20"/>
      <c r="Q215" s="24"/>
      <c r="R215" s="24"/>
      <c r="S215" s="24"/>
      <c r="T215" s="24"/>
      <c r="U215" s="24"/>
      <c r="V215" s="24"/>
      <c r="W215" s="20"/>
      <c r="X215" s="20"/>
      <c r="Y215" s="20"/>
      <c r="Z215" s="20"/>
      <c r="AA215" s="20"/>
      <c r="AB215" s="20"/>
      <c r="AC215" s="20"/>
    </row>
    <row r="216" spans="2:29" ht="14.45">
      <c r="B216" t="s">
        <v>602</v>
      </c>
      <c r="C216" t="s">
        <v>22</v>
      </c>
      <c r="D216" t="s">
        <v>596</v>
      </c>
      <c r="E216" t="s">
        <v>603</v>
      </c>
      <c r="F216" s="1" t="s">
        <v>604</v>
      </c>
      <c r="G216" t="s">
        <v>113</v>
      </c>
      <c r="H216" t="s">
        <v>598</v>
      </c>
      <c r="I216" t="s">
        <v>605</v>
      </c>
      <c r="J216" s="26">
        <v>46093</v>
      </c>
      <c r="K216" s="26">
        <v>46100</v>
      </c>
      <c r="L216" t="s">
        <v>29</v>
      </c>
      <c r="M216" s="20"/>
      <c r="N216" s="20"/>
      <c r="O216" s="20"/>
      <c r="P216" s="20"/>
      <c r="Q216" s="28"/>
      <c r="R216" s="24"/>
      <c r="S216" s="24"/>
      <c r="T216" s="28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2:29" ht="14.45">
      <c r="B217" t="s">
        <v>606</v>
      </c>
      <c r="C217" t="s">
        <v>22</v>
      </c>
      <c r="D217" t="s">
        <v>596</v>
      </c>
      <c r="E217" t="s">
        <v>603</v>
      </c>
      <c r="F217" s="1" t="s">
        <v>607</v>
      </c>
      <c r="G217" t="s">
        <v>113</v>
      </c>
      <c r="H217" t="s">
        <v>598</v>
      </c>
      <c r="I217" t="s">
        <v>608</v>
      </c>
      <c r="J217" s="27">
        <v>46093</v>
      </c>
      <c r="K217" s="27">
        <v>46107</v>
      </c>
      <c r="L217" t="s">
        <v>29</v>
      </c>
      <c r="M217" s="20"/>
      <c r="N217" s="20"/>
      <c r="O217" s="20"/>
      <c r="P217" s="20"/>
      <c r="Q217" s="25"/>
      <c r="R217" s="25"/>
      <c r="S217" s="25"/>
      <c r="T217" s="25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2:29" ht="14.45">
      <c r="B218" t="s">
        <v>609</v>
      </c>
      <c r="C218" t="s">
        <v>22</v>
      </c>
      <c r="D218" t="s">
        <v>596</v>
      </c>
      <c r="E218" t="s">
        <v>603</v>
      </c>
      <c r="F218" s="1" t="s">
        <v>610</v>
      </c>
      <c r="G218" t="s">
        <v>113</v>
      </c>
      <c r="H218" t="s">
        <v>598</v>
      </c>
      <c r="I218" t="s">
        <v>599</v>
      </c>
      <c r="J218" s="26">
        <v>46093</v>
      </c>
      <c r="K218" s="26">
        <v>46100</v>
      </c>
      <c r="L218" t="s">
        <v>29</v>
      </c>
      <c r="M218" s="20"/>
      <c r="N218" s="20"/>
      <c r="O218" s="20"/>
      <c r="P218" s="20"/>
      <c r="Q218" s="20"/>
      <c r="R218" s="24"/>
      <c r="S218" s="24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2:29" ht="14.45">
      <c r="B219" t="s">
        <v>611</v>
      </c>
      <c r="C219" t="s">
        <v>22</v>
      </c>
      <c r="D219" t="s">
        <v>596</v>
      </c>
      <c r="E219" t="s">
        <v>603</v>
      </c>
      <c r="F219" s="1" t="s">
        <v>612</v>
      </c>
      <c r="G219" t="s">
        <v>117</v>
      </c>
      <c r="H219" t="s">
        <v>613</v>
      </c>
      <c r="I219" t="s">
        <v>162</v>
      </c>
      <c r="J219" s="27">
        <v>46093</v>
      </c>
      <c r="K219" s="27">
        <v>46100</v>
      </c>
      <c r="L219" t="s">
        <v>29</v>
      </c>
      <c r="M219" s="20"/>
      <c r="N219" s="20"/>
      <c r="O219" s="20"/>
      <c r="P219" s="20"/>
      <c r="Q219" s="20"/>
      <c r="R219" s="24"/>
      <c r="S219" s="24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2:29" ht="14.45">
      <c r="B220" t="s">
        <v>614</v>
      </c>
      <c r="C220" t="s">
        <v>22</v>
      </c>
      <c r="D220" t="s">
        <v>596</v>
      </c>
      <c r="E220" t="s">
        <v>615</v>
      </c>
      <c r="F220" s="1" t="s">
        <v>616</v>
      </c>
      <c r="G220" t="s">
        <v>26</v>
      </c>
      <c r="H220" t="s">
        <v>598</v>
      </c>
      <c r="I220" t="s">
        <v>608</v>
      </c>
      <c r="J220" s="26">
        <v>46086</v>
      </c>
      <c r="K220" s="26">
        <v>46152</v>
      </c>
      <c r="L220" t="s">
        <v>29</v>
      </c>
      <c r="M220" s="20"/>
      <c r="N220" s="20"/>
      <c r="O220" s="20"/>
      <c r="P220" s="20"/>
      <c r="Q220" s="20"/>
      <c r="R220" s="20"/>
      <c r="S220" s="25"/>
      <c r="T220" s="25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2:29" ht="14.45">
      <c r="B221" t="s">
        <v>617</v>
      </c>
      <c r="C221" t="s">
        <v>22</v>
      </c>
      <c r="D221" t="s">
        <v>596</v>
      </c>
      <c r="E221" t="s">
        <v>615</v>
      </c>
      <c r="F221" s="1" t="s">
        <v>618</v>
      </c>
      <c r="G221" t="s">
        <v>51</v>
      </c>
      <c r="H221" t="s">
        <v>619</v>
      </c>
      <c r="I221" t="s">
        <v>608</v>
      </c>
      <c r="J221" s="27">
        <v>46086</v>
      </c>
      <c r="K221" s="27">
        <v>46152</v>
      </c>
      <c r="L221" t="s">
        <v>29</v>
      </c>
      <c r="M221" s="20"/>
      <c r="N221" s="20"/>
      <c r="O221" s="20"/>
      <c r="P221" s="20"/>
      <c r="Q221" s="20"/>
      <c r="R221" s="20"/>
      <c r="S221" s="25"/>
      <c r="T221" s="25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2:29" ht="14.45">
      <c r="B222" t="s">
        <v>620</v>
      </c>
      <c r="C222" t="s">
        <v>22</v>
      </c>
      <c r="D222" t="s">
        <v>596</v>
      </c>
      <c r="E222" t="s">
        <v>615</v>
      </c>
      <c r="F222" s="1" t="s">
        <v>621</v>
      </c>
      <c r="G222" t="s">
        <v>51</v>
      </c>
      <c r="H222" t="s">
        <v>618</v>
      </c>
      <c r="I222" t="s">
        <v>608</v>
      </c>
      <c r="J222" s="26">
        <v>46093</v>
      </c>
      <c r="K222" s="26">
        <v>46152</v>
      </c>
      <c r="L222" t="s">
        <v>29</v>
      </c>
      <c r="M222" s="28"/>
      <c r="N222" s="28"/>
      <c r="O222" s="28"/>
      <c r="P222" s="28"/>
      <c r="Q222" s="28"/>
      <c r="R222" s="28"/>
      <c r="S222" s="28"/>
      <c r="T222" s="28"/>
      <c r="U222" s="28"/>
      <c r="V222" s="24"/>
      <c r="W222" s="24"/>
      <c r="X222" s="24"/>
      <c r="Y222" s="24"/>
      <c r="Z222" s="24"/>
      <c r="AA222" s="20"/>
      <c r="AB222" s="20"/>
      <c r="AC222" s="20"/>
    </row>
    <row r="223" spans="2:29" ht="14.45">
      <c r="B223" t="s">
        <v>622</v>
      </c>
      <c r="C223" t="s">
        <v>22</v>
      </c>
      <c r="D223" t="s">
        <v>596</v>
      </c>
      <c r="E223" t="s">
        <v>615</v>
      </c>
      <c r="F223" s="1" t="s">
        <v>623</v>
      </c>
      <c r="G223" t="s">
        <v>32</v>
      </c>
      <c r="H223" t="s">
        <v>621</v>
      </c>
      <c r="I223" t="s">
        <v>162</v>
      </c>
      <c r="J223" s="26">
        <v>46093</v>
      </c>
      <c r="K223" s="26">
        <v>46152</v>
      </c>
      <c r="L223" t="s">
        <v>29</v>
      </c>
      <c r="M223" s="28"/>
      <c r="N223" s="28"/>
      <c r="O223" s="28"/>
      <c r="P223" s="28"/>
      <c r="Q223" s="28"/>
      <c r="R223" s="28"/>
      <c r="S223" s="25"/>
      <c r="T223" s="25"/>
      <c r="U223" s="25"/>
      <c r="V223" s="25"/>
      <c r="W223" s="20"/>
      <c r="X223" s="20"/>
      <c r="Y223" s="20"/>
      <c r="Z223" s="20"/>
      <c r="AA223" s="20"/>
      <c r="AB223" s="20"/>
      <c r="AC223" s="20"/>
    </row>
    <row r="224" spans="2:29" ht="14.45">
      <c r="B224" t="s">
        <v>624</v>
      </c>
      <c r="C224" t="s">
        <v>22</v>
      </c>
      <c r="D224" t="s">
        <v>596</v>
      </c>
      <c r="E224" t="s">
        <v>615</v>
      </c>
      <c r="F224" s="1" t="s">
        <v>625</v>
      </c>
      <c r="G224" t="s">
        <v>32</v>
      </c>
      <c r="H224" t="s">
        <v>623</v>
      </c>
      <c r="I224" t="s">
        <v>162</v>
      </c>
      <c r="J224" s="26">
        <v>46093</v>
      </c>
      <c r="K224" s="26">
        <v>46152</v>
      </c>
      <c r="L224" t="s">
        <v>29</v>
      </c>
      <c r="M224" s="28"/>
      <c r="N224" s="28"/>
      <c r="O224" s="28"/>
      <c r="P224" s="28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0"/>
      <c r="AB224" s="20"/>
      <c r="AC224" s="20"/>
    </row>
    <row r="225" spans="2:29" ht="14.45">
      <c r="B225" t="s">
        <v>626</v>
      </c>
      <c r="C225" t="s">
        <v>22</v>
      </c>
      <c r="D225" t="s">
        <v>596</v>
      </c>
      <c r="E225" t="s">
        <v>615</v>
      </c>
      <c r="F225" s="1" t="s">
        <v>627</v>
      </c>
      <c r="G225" t="s">
        <v>628</v>
      </c>
      <c r="H225" t="s">
        <v>625</v>
      </c>
      <c r="I225" t="s">
        <v>162</v>
      </c>
      <c r="J225" s="26">
        <v>46093</v>
      </c>
      <c r="K225" s="26">
        <v>46152</v>
      </c>
      <c r="L225" t="s">
        <v>29</v>
      </c>
      <c r="M225" s="28"/>
      <c r="N225" s="28"/>
      <c r="O225" s="28"/>
      <c r="P225" s="28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0"/>
      <c r="AB225" s="20"/>
      <c r="AC225" s="20"/>
    </row>
    <row r="226" spans="2:29" ht="14.45">
      <c r="B226" t="s">
        <v>629</v>
      </c>
      <c r="C226" t="s">
        <v>22</v>
      </c>
      <c r="D226" t="s">
        <v>596</v>
      </c>
      <c r="E226" t="s">
        <v>113</v>
      </c>
      <c r="F226" s="1" t="s">
        <v>630</v>
      </c>
      <c r="G226" t="s">
        <v>113</v>
      </c>
      <c r="H226" t="s">
        <v>598</v>
      </c>
      <c r="I226" t="s">
        <v>608</v>
      </c>
      <c r="J226" s="26">
        <v>46093</v>
      </c>
      <c r="K226" s="26">
        <v>46100</v>
      </c>
      <c r="L226" t="s">
        <v>29</v>
      </c>
      <c r="M226" s="28"/>
      <c r="N226" s="28"/>
      <c r="O226" s="28"/>
      <c r="P226" s="28"/>
      <c r="Q226" s="24"/>
      <c r="R226" s="24"/>
      <c r="S226" s="28"/>
      <c r="T226" s="28"/>
      <c r="U226" s="28"/>
      <c r="X226" s="20"/>
      <c r="Y226" s="20"/>
      <c r="Z226" s="20"/>
      <c r="AA226" s="20"/>
      <c r="AB226" s="20"/>
      <c r="AC226" s="20"/>
    </row>
    <row r="227" spans="2:29" ht="14.45">
      <c r="B227" t="s">
        <v>631</v>
      </c>
      <c r="C227" t="s">
        <v>22</v>
      </c>
      <c r="D227" t="s">
        <v>596</v>
      </c>
      <c r="E227" t="s">
        <v>113</v>
      </c>
      <c r="F227" s="1" t="s">
        <v>632</v>
      </c>
      <c r="G227" t="s">
        <v>113</v>
      </c>
      <c r="H227" t="s">
        <v>598</v>
      </c>
      <c r="I227" t="s">
        <v>599</v>
      </c>
      <c r="J227" s="26">
        <v>46065</v>
      </c>
      <c r="K227" s="26">
        <v>46156</v>
      </c>
      <c r="L227" t="s">
        <v>29</v>
      </c>
      <c r="M227" s="20"/>
      <c r="N227" s="20"/>
      <c r="O227" s="20"/>
      <c r="P227" s="20"/>
      <c r="Q227" s="20"/>
      <c r="R227" s="24"/>
      <c r="S227" s="24"/>
      <c r="T227" s="24"/>
      <c r="U227" s="24"/>
      <c r="V227" s="24"/>
      <c r="W227" s="24"/>
      <c r="X227" s="24"/>
      <c r="Y227" s="24"/>
      <c r="Z227" s="24"/>
      <c r="AA227" s="20"/>
      <c r="AB227" s="20"/>
      <c r="AC227" s="20"/>
    </row>
    <row r="228" spans="2:29" ht="14.45">
      <c r="B228" t="s">
        <v>633</v>
      </c>
      <c r="C228" t="s">
        <v>22</v>
      </c>
      <c r="D228" t="s">
        <v>596</v>
      </c>
      <c r="E228" t="s">
        <v>634</v>
      </c>
      <c r="F228" s="1" t="s">
        <v>635</v>
      </c>
      <c r="G228" t="s">
        <v>636</v>
      </c>
      <c r="H228" t="s">
        <v>113</v>
      </c>
      <c r="I228" t="s">
        <v>637</v>
      </c>
      <c r="J228" s="26">
        <v>46090</v>
      </c>
      <c r="K228" s="26">
        <v>46100</v>
      </c>
      <c r="L228" t="s">
        <v>29</v>
      </c>
      <c r="M228" s="28"/>
      <c r="N228" s="28"/>
      <c r="O228" s="28"/>
      <c r="P228" s="28"/>
      <c r="Q228" s="25"/>
      <c r="R228" s="25"/>
      <c r="S228" s="25"/>
      <c r="T228" s="25"/>
      <c r="U228" s="25"/>
      <c r="V228" s="20"/>
      <c r="W228" s="20"/>
      <c r="X228" s="20"/>
      <c r="Y228" s="20"/>
      <c r="Z228" s="20"/>
      <c r="AA228" s="20"/>
      <c r="AB228" s="20"/>
      <c r="AC228" s="20"/>
    </row>
    <row r="229" spans="2:29" ht="14.45">
      <c r="B229" t="s">
        <v>638</v>
      </c>
      <c r="C229" t="s">
        <v>22</v>
      </c>
      <c r="D229" t="s">
        <v>596</v>
      </c>
      <c r="E229" t="s">
        <v>634</v>
      </c>
      <c r="F229" s="1" t="s">
        <v>639</v>
      </c>
      <c r="G229" t="s">
        <v>32</v>
      </c>
      <c r="H229" t="s">
        <v>113</v>
      </c>
      <c r="I229" t="s">
        <v>637</v>
      </c>
      <c r="J229" s="26">
        <v>46090</v>
      </c>
      <c r="K229" s="26">
        <v>46100</v>
      </c>
      <c r="L229" t="s">
        <v>29</v>
      </c>
      <c r="M229" s="20"/>
      <c r="N229" s="20"/>
      <c r="O229" s="20"/>
      <c r="P229" s="20"/>
      <c r="Q229" s="25"/>
      <c r="R229" s="25"/>
      <c r="S229" s="25"/>
      <c r="T229" s="25"/>
      <c r="U229" s="25"/>
      <c r="V229" s="25"/>
      <c r="W229" s="20"/>
      <c r="X229" s="20"/>
      <c r="Y229" s="20"/>
      <c r="Z229" s="20"/>
      <c r="AA229" s="20"/>
      <c r="AB229" s="20"/>
      <c r="AC229" s="20"/>
    </row>
    <row r="230" spans="2:29" ht="14.45">
      <c r="B230" t="s">
        <v>640</v>
      </c>
      <c r="C230" t="s">
        <v>22</v>
      </c>
      <c r="D230" t="s">
        <v>596</v>
      </c>
      <c r="E230" t="s">
        <v>634</v>
      </c>
      <c r="F230" s="1" t="s">
        <v>641</v>
      </c>
      <c r="G230" t="s">
        <v>642</v>
      </c>
      <c r="H230" t="s">
        <v>113</v>
      </c>
      <c r="I230" t="s">
        <v>637</v>
      </c>
      <c r="J230" s="26">
        <v>46090</v>
      </c>
      <c r="K230" s="26">
        <v>46100</v>
      </c>
      <c r="L230" t="s">
        <v>29</v>
      </c>
      <c r="M230" s="20"/>
      <c r="N230" s="20"/>
      <c r="O230" s="20"/>
      <c r="P230" s="20"/>
      <c r="Q230" s="20"/>
      <c r="R230" s="20"/>
      <c r="S230" s="25"/>
      <c r="T230" s="25"/>
      <c r="U230" s="25"/>
      <c r="V230" s="25"/>
      <c r="W230" s="20"/>
      <c r="X230" s="20"/>
      <c r="Y230" s="20"/>
      <c r="Z230" s="20"/>
      <c r="AA230" s="20"/>
      <c r="AB230" s="20"/>
      <c r="AC230" s="20"/>
    </row>
    <row r="231" spans="2:29" ht="14.45">
      <c r="B231" t="s">
        <v>643</v>
      </c>
      <c r="C231" t="s">
        <v>22</v>
      </c>
      <c r="D231" t="s">
        <v>596</v>
      </c>
      <c r="E231" t="s">
        <v>634</v>
      </c>
      <c r="F231" s="1" t="s">
        <v>644</v>
      </c>
      <c r="G231" t="s">
        <v>642</v>
      </c>
      <c r="H231" t="s">
        <v>113</v>
      </c>
      <c r="I231" t="s">
        <v>637</v>
      </c>
      <c r="J231" s="26">
        <v>46090</v>
      </c>
      <c r="K231" s="26">
        <v>46100</v>
      </c>
      <c r="L231" t="s">
        <v>29</v>
      </c>
      <c r="M231" s="20"/>
      <c r="N231" s="20"/>
      <c r="O231" s="24"/>
      <c r="P231" s="24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2:29" ht="14.45">
      <c r="B232" t="s">
        <v>645</v>
      </c>
      <c r="C232" t="s">
        <v>646</v>
      </c>
      <c r="D232" t="s">
        <v>647</v>
      </c>
      <c r="E232" t="s">
        <v>648</v>
      </c>
      <c r="F232" s="1" t="s">
        <v>649</v>
      </c>
      <c r="G232" t="s">
        <v>650</v>
      </c>
      <c r="H232" s="14" t="s">
        <v>651</v>
      </c>
      <c r="I232" t="s">
        <v>276</v>
      </c>
      <c r="J232" s="14"/>
      <c r="K232" s="14"/>
      <c r="L232" t="s">
        <v>29</v>
      </c>
      <c r="M232" s="20"/>
      <c r="N232" s="20"/>
      <c r="O232" s="24"/>
      <c r="P232" s="24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2:29" ht="14.45">
      <c r="B233" t="s">
        <v>652</v>
      </c>
      <c r="C233" t="s">
        <v>646</v>
      </c>
      <c r="D233" t="s">
        <v>647</v>
      </c>
      <c r="E233" t="s">
        <v>648</v>
      </c>
      <c r="F233" s="1" t="s">
        <v>653</v>
      </c>
      <c r="G233" t="s">
        <v>650</v>
      </c>
      <c r="H233" s="14" t="s">
        <v>651</v>
      </c>
      <c r="I233" t="s">
        <v>276</v>
      </c>
      <c r="J233" s="26">
        <v>46105</v>
      </c>
      <c r="K233" s="26">
        <v>46119</v>
      </c>
      <c r="L233" t="s">
        <v>29</v>
      </c>
      <c r="M233" s="20"/>
      <c r="N233" s="20"/>
      <c r="O233" s="24"/>
      <c r="P233" s="24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2:29" ht="14.45">
      <c r="B234" t="s">
        <v>654</v>
      </c>
      <c r="C234" t="s">
        <v>646</v>
      </c>
      <c r="D234" t="s">
        <v>647</v>
      </c>
      <c r="E234" t="s">
        <v>648</v>
      </c>
      <c r="F234" s="1" t="s">
        <v>655</v>
      </c>
      <c r="G234" t="s">
        <v>650</v>
      </c>
      <c r="H234" s="14" t="s">
        <v>651</v>
      </c>
      <c r="I234" t="s">
        <v>276</v>
      </c>
      <c r="J234" s="14"/>
      <c r="K234" s="14"/>
      <c r="L234" t="s">
        <v>29</v>
      </c>
      <c r="M234" s="20"/>
      <c r="N234" s="20"/>
      <c r="O234" s="20"/>
      <c r="P234" s="24"/>
      <c r="Q234" s="24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2:29" ht="14.45">
      <c r="B235" t="s">
        <v>656</v>
      </c>
      <c r="C235" t="s">
        <v>646</v>
      </c>
      <c r="D235" t="s">
        <v>647</v>
      </c>
      <c r="E235" t="s">
        <v>648</v>
      </c>
      <c r="F235" s="1" t="s">
        <v>657</v>
      </c>
      <c r="G235" t="s">
        <v>650</v>
      </c>
      <c r="H235" s="14" t="s">
        <v>651</v>
      </c>
      <c r="I235" t="s">
        <v>658</v>
      </c>
      <c r="J235" s="14"/>
      <c r="K235" s="14"/>
      <c r="L235" t="s">
        <v>29</v>
      </c>
      <c r="M235" s="20"/>
      <c r="N235" s="20"/>
      <c r="O235" s="20"/>
      <c r="P235" s="24"/>
      <c r="Q235" s="24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2:29" ht="14.45">
      <c r="B236" t="s">
        <v>659</v>
      </c>
      <c r="C236" t="s">
        <v>646</v>
      </c>
      <c r="D236" t="s">
        <v>647</v>
      </c>
      <c r="E236" t="s">
        <v>648</v>
      </c>
      <c r="F236" s="1" t="s">
        <v>660</v>
      </c>
      <c r="G236" t="s">
        <v>650</v>
      </c>
      <c r="H236" s="14" t="s">
        <v>651</v>
      </c>
      <c r="I236" t="s">
        <v>658</v>
      </c>
      <c r="J236" s="14"/>
      <c r="K236" s="14"/>
      <c r="L236" t="s">
        <v>29</v>
      </c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2:29" ht="14.45">
      <c r="B237" t="s">
        <v>661</v>
      </c>
      <c r="C237" t="s">
        <v>646</v>
      </c>
      <c r="D237" t="s">
        <v>647</v>
      </c>
      <c r="E237" t="s">
        <v>648</v>
      </c>
      <c r="F237" s="1" t="s">
        <v>662</v>
      </c>
      <c r="G237" t="s">
        <v>121</v>
      </c>
      <c r="H237" t="s">
        <v>663</v>
      </c>
      <c r="I237" t="s">
        <v>6</v>
      </c>
      <c r="J237" s="14"/>
      <c r="K237" s="14"/>
      <c r="L237" t="s">
        <v>29</v>
      </c>
      <c r="M237" s="20"/>
      <c r="N237" s="20"/>
      <c r="O237" s="20"/>
      <c r="P237" s="24"/>
      <c r="Q237" s="24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2:29" ht="14.45">
      <c r="B238" t="s">
        <v>664</v>
      </c>
      <c r="C238" t="s">
        <v>646</v>
      </c>
      <c r="D238" t="s">
        <v>647</v>
      </c>
      <c r="E238" t="s">
        <v>648</v>
      </c>
      <c r="F238" s="1" t="s">
        <v>665</v>
      </c>
      <c r="G238" t="s">
        <v>650</v>
      </c>
      <c r="H238" s="2" t="s">
        <v>666</v>
      </c>
      <c r="I238" t="s">
        <v>276</v>
      </c>
      <c r="J238" s="26">
        <v>46084</v>
      </c>
      <c r="K238" s="26">
        <v>46112</v>
      </c>
      <c r="L238" t="s">
        <v>29</v>
      </c>
      <c r="M238" s="20"/>
      <c r="N238" s="20"/>
      <c r="O238" s="20"/>
      <c r="P238" s="24"/>
      <c r="Q238" s="24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2:29" ht="14.45">
      <c r="B239" t="s">
        <v>667</v>
      </c>
      <c r="C239" t="s">
        <v>646</v>
      </c>
      <c r="D239" t="s">
        <v>647</v>
      </c>
      <c r="E239" t="s">
        <v>648</v>
      </c>
      <c r="F239" s="1" t="s">
        <v>668</v>
      </c>
      <c r="G239" t="s">
        <v>650</v>
      </c>
      <c r="H239" s="2" t="s">
        <v>669</v>
      </c>
      <c r="I239" t="s">
        <v>658</v>
      </c>
      <c r="J239" s="26">
        <v>46084</v>
      </c>
      <c r="K239" s="26">
        <v>46119</v>
      </c>
      <c r="L239" t="s">
        <v>29</v>
      </c>
      <c r="M239" s="20"/>
      <c r="N239" s="20"/>
      <c r="O239" s="20"/>
      <c r="P239" s="24"/>
      <c r="Q239" s="24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2:29" ht="14.45">
      <c r="B240" t="s">
        <v>670</v>
      </c>
      <c r="C240" t="s">
        <v>646</v>
      </c>
      <c r="D240" t="s">
        <v>647</v>
      </c>
      <c r="E240" t="s">
        <v>648</v>
      </c>
      <c r="F240" s="1" t="s">
        <v>671</v>
      </c>
      <c r="G240" t="s">
        <v>672</v>
      </c>
      <c r="H240" s="2" t="s">
        <v>673</v>
      </c>
      <c r="I240" t="s">
        <v>276</v>
      </c>
      <c r="J240" s="26">
        <v>46105</v>
      </c>
      <c r="K240" s="26">
        <v>46119</v>
      </c>
      <c r="L240" t="s">
        <v>29</v>
      </c>
      <c r="M240" s="20"/>
      <c r="N240" s="20"/>
      <c r="O240" s="20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0"/>
      <c r="AB240" s="20"/>
      <c r="AC240" s="20"/>
    </row>
    <row r="241" spans="2:29" ht="14.45">
      <c r="B241" t="s">
        <v>674</v>
      </c>
      <c r="C241" t="s">
        <v>646</v>
      </c>
      <c r="D241" t="s">
        <v>647</v>
      </c>
      <c r="E241" t="s">
        <v>648</v>
      </c>
      <c r="F241" s="1" t="s">
        <v>675</v>
      </c>
      <c r="G241" t="s">
        <v>672</v>
      </c>
      <c r="H241" s="14" t="s">
        <v>651</v>
      </c>
      <c r="I241" t="s">
        <v>676</v>
      </c>
      <c r="J241" s="14"/>
      <c r="K241" s="14"/>
      <c r="L241" t="s">
        <v>29</v>
      </c>
      <c r="M241" s="20"/>
      <c r="N241" s="20"/>
      <c r="O241" s="20"/>
      <c r="P241" s="24"/>
      <c r="Q241" s="24"/>
      <c r="R241" s="24"/>
      <c r="S241" s="24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2:29" ht="14.45">
      <c r="B242" t="s">
        <v>677</v>
      </c>
      <c r="C242" t="s">
        <v>646</v>
      </c>
      <c r="D242" t="s">
        <v>647</v>
      </c>
      <c r="E242" t="s">
        <v>648</v>
      </c>
      <c r="F242" s="1" t="s">
        <v>678</v>
      </c>
      <c r="G242" t="s">
        <v>672</v>
      </c>
      <c r="H242" s="14" t="s">
        <v>651</v>
      </c>
      <c r="I242" t="s">
        <v>676</v>
      </c>
      <c r="J242" s="14"/>
      <c r="K242" s="14"/>
      <c r="L242" t="s">
        <v>29</v>
      </c>
      <c r="M242" s="20"/>
      <c r="N242" s="20"/>
      <c r="O242" s="20"/>
      <c r="P242" s="24"/>
      <c r="Q242" s="24"/>
      <c r="R242" s="24"/>
      <c r="S242" s="24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2:29" ht="14.45">
      <c r="B243" t="s">
        <v>679</v>
      </c>
      <c r="C243" t="s">
        <v>646</v>
      </c>
      <c r="D243" t="s">
        <v>647</v>
      </c>
      <c r="E243" t="s">
        <v>648</v>
      </c>
      <c r="F243" s="1" t="s">
        <v>680</v>
      </c>
      <c r="G243" t="s">
        <v>121</v>
      </c>
      <c r="H243" s="14" t="s">
        <v>651</v>
      </c>
      <c r="I243" t="s">
        <v>681</v>
      </c>
      <c r="J243" s="14"/>
      <c r="K243" s="14"/>
      <c r="L243" t="s">
        <v>29</v>
      </c>
      <c r="M243" s="20"/>
      <c r="N243" s="20"/>
      <c r="O243" s="20"/>
      <c r="P243" s="24"/>
      <c r="Q243" s="24"/>
      <c r="R243" s="24"/>
      <c r="S243" s="24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2:29" ht="14.45">
      <c r="B244" t="s">
        <v>682</v>
      </c>
      <c r="C244" t="s">
        <v>646</v>
      </c>
      <c r="D244" t="s">
        <v>647</v>
      </c>
      <c r="E244" t="s">
        <v>648</v>
      </c>
      <c r="F244" s="1" t="s">
        <v>683</v>
      </c>
      <c r="G244" t="s">
        <v>121</v>
      </c>
      <c r="H244" s="2" t="s">
        <v>675</v>
      </c>
      <c r="I244" t="s">
        <v>681</v>
      </c>
      <c r="J244" s="14"/>
      <c r="K244" s="14"/>
      <c r="L244" t="s">
        <v>29</v>
      </c>
      <c r="M244" s="20"/>
      <c r="N244" s="20"/>
      <c r="O244" s="20"/>
      <c r="P244" s="20"/>
      <c r="Q244" s="20"/>
      <c r="R244" s="20"/>
      <c r="S244" s="20"/>
      <c r="T244" s="29"/>
      <c r="U244" s="29"/>
      <c r="V244" s="29"/>
      <c r="W244" s="25"/>
      <c r="X244" s="25"/>
      <c r="Y244" s="20"/>
      <c r="Z244" s="20"/>
      <c r="AA244" s="20"/>
      <c r="AB244" s="28"/>
      <c r="AC244" s="28"/>
    </row>
    <row r="245" spans="2:29" ht="14.45">
      <c r="B245" t="s">
        <v>684</v>
      </c>
      <c r="C245" t="s">
        <v>646</v>
      </c>
      <c r="D245" t="s">
        <v>647</v>
      </c>
      <c r="E245" t="s">
        <v>648</v>
      </c>
      <c r="F245" s="1" t="s">
        <v>685</v>
      </c>
      <c r="G245" t="s">
        <v>121</v>
      </c>
      <c r="H245" s="2" t="s">
        <v>678</v>
      </c>
      <c r="I245" t="s">
        <v>681</v>
      </c>
      <c r="J245" s="14"/>
      <c r="K245" s="14"/>
      <c r="L245" t="s">
        <v>29</v>
      </c>
      <c r="M245" s="20"/>
      <c r="N245" s="20"/>
      <c r="O245" s="20"/>
      <c r="P245" s="20"/>
      <c r="Q245" s="20"/>
      <c r="R245" s="20"/>
      <c r="S245" s="20"/>
      <c r="T245" s="25"/>
      <c r="U245" s="25"/>
      <c r="V245" s="20"/>
      <c r="W245" s="20"/>
      <c r="X245" s="20"/>
      <c r="Y245" s="20"/>
      <c r="Z245" s="20"/>
      <c r="AA245" s="20"/>
      <c r="AB245" s="20"/>
      <c r="AC245" s="20"/>
    </row>
    <row r="246" spans="2:29" ht="29.1">
      <c r="B246" t="s">
        <v>686</v>
      </c>
      <c r="C246" t="s">
        <v>646</v>
      </c>
      <c r="D246" t="s">
        <v>647</v>
      </c>
      <c r="E246" t="s">
        <v>648</v>
      </c>
      <c r="F246" s="1" t="s">
        <v>687</v>
      </c>
      <c r="G246" t="s">
        <v>121</v>
      </c>
      <c r="H246" s="2" t="s">
        <v>688</v>
      </c>
      <c r="I246" t="s">
        <v>681</v>
      </c>
      <c r="J246" s="14"/>
      <c r="K246" s="14"/>
      <c r="L246" t="s">
        <v>29</v>
      </c>
      <c r="M246" s="20"/>
      <c r="N246" s="20"/>
      <c r="O246" s="20"/>
      <c r="P246" s="20"/>
      <c r="Q246" s="20"/>
      <c r="R246" s="20"/>
      <c r="S246" s="20"/>
      <c r="T246" s="25"/>
      <c r="U246" s="25"/>
      <c r="V246" s="25"/>
      <c r="W246" s="25"/>
      <c r="X246" s="28"/>
      <c r="Y246" s="28"/>
      <c r="Z246" s="28"/>
      <c r="AA246" s="20"/>
      <c r="AB246" s="20"/>
      <c r="AC246" s="20"/>
    </row>
    <row r="247" spans="2:29" ht="14.45">
      <c r="B247" t="s">
        <v>689</v>
      </c>
      <c r="C247" t="s">
        <v>646</v>
      </c>
      <c r="D247" t="s">
        <v>647</v>
      </c>
      <c r="E247" t="s">
        <v>648</v>
      </c>
      <c r="F247" s="1" t="s">
        <v>690</v>
      </c>
      <c r="G247" t="s">
        <v>121</v>
      </c>
      <c r="H247" s="14" t="s">
        <v>651</v>
      </c>
      <c r="I247" t="s">
        <v>681</v>
      </c>
      <c r="J247" s="14"/>
      <c r="K247" s="14"/>
      <c r="L247" t="s">
        <v>29</v>
      </c>
      <c r="M247" s="20"/>
      <c r="N247" s="20"/>
      <c r="O247" s="20"/>
      <c r="P247" s="20"/>
      <c r="Q247" s="20"/>
      <c r="R247" s="20"/>
      <c r="S247" s="20"/>
      <c r="T247" s="24"/>
      <c r="U247" s="24"/>
      <c r="V247" s="20"/>
      <c r="W247" s="20"/>
      <c r="X247" s="20"/>
      <c r="Y247" s="20"/>
      <c r="Z247" s="20"/>
      <c r="AA247" s="20"/>
      <c r="AB247" s="20"/>
      <c r="AC247" s="20"/>
    </row>
    <row r="248" spans="2:29" ht="29.1">
      <c r="B248" t="s">
        <v>691</v>
      </c>
      <c r="C248" t="s">
        <v>646</v>
      </c>
      <c r="D248" t="s">
        <v>647</v>
      </c>
      <c r="E248" t="s">
        <v>648</v>
      </c>
      <c r="F248" s="1" t="s">
        <v>692</v>
      </c>
      <c r="G248" t="s">
        <v>51</v>
      </c>
      <c r="H248" s="2" t="s">
        <v>693</v>
      </c>
      <c r="I248" t="s">
        <v>694</v>
      </c>
      <c r="J248" s="14"/>
      <c r="K248" s="14"/>
      <c r="L248" t="s">
        <v>29</v>
      </c>
      <c r="M248" s="20"/>
      <c r="N248" s="20"/>
      <c r="O248" s="20"/>
      <c r="P248" s="20"/>
      <c r="Q248" s="20"/>
      <c r="R248" s="20"/>
      <c r="S248" s="24"/>
      <c r="T248" s="24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2:29" ht="29.1">
      <c r="B249" t="s">
        <v>695</v>
      </c>
      <c r="C249" t="s">
        <v>646</v>
      </c>
      <c r="D249" t="s">
        <v>647</v>
      </c>
      <c r="E249" t="s">
        <v>648</v>
      </c>
      <c r="F249" s="1" t="s">
        <v>696</v>
      </c>
      <c r="G249" t="s">
        <v>121</v>
      </c>
      <c r="H249" s="2" t="s">
        <v>697</v>
      </c>
      <c r="I249" t="s">
        <v>6</v>
      </c>
      <c r="J249" s="14"/>
      <c r="K249" s="14"/>
      <c r="L249" t="s">
        <v>29</v>
      </c>
      <c r="M249" s="20"/>
      <c r="N249" s="20"/>
      <c r="O249" s="20"/>
      <c r="P249" s="20"/>
      <c r="Q249" s="20"/>
      <c r="R249" s="20"/>
      <c r="S249" s="20"/>
      <c r="T249" s="25"/>
      <c r="U249" s="25"/>
      <c r="V249" s="20"/>
      <c r="W249" s="20"/>
      <c r="X249" s="20"/>
      <c r="Y249" s="20"/>
      <c r="Z249" s="20"/>
      <c r="AA249" s="20"/>
      <c r="AB249" s="20"/>
      <c r="AC249" s="20"/>
    </row>
    <row r="250" spans="2:29" ht="14.45">
      <c r="B250" t="s">
        <v>698</v>
      </c>
      <c r="C250" t="s">
        <v>646</v>
      </c>
      <c r="D250" t="s">
        <v>647</v>
      </c>
      <c r="E250" t="s">
        <v>648</v>
      </c>
      <c r="F250" s="1" t="s">
        <v>699</v>
      </c>
      <c r="G250" t="s">
        <v>672</v>
      </c>
      <c r="H250" s="2" t="s">
        <v>700</v>
      </c>
      <c r="I250" t="s">
        <v>701</v>
      </c>
      <c r="J250" s="14"/>
      <c r="K250" s="14"/>
      <c r="L250" t="s">
        <v>29</v>
      </c>
      <c r="M250" s="20"/>
      <c r="N250" s="20"/>
      <c r="O250" s="20"/>
      <c r="P250" s="20"/>
      <c r="Q250" s="20"/>
      <c r="R250" s="20"/>
      <c r="S250" s="24"/>
      <c r="T250" s="24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2:29" ht="14.45">
      <c r="B251" t="s">
        <v>702</v>
      </c>
      <c r="C251" t="s">
        <v>646</v>
      </c>
      <c r="D251" t="s">
        <v>647</v>
      </c>
      <c r="E251" t="s">
        <v>648</v>
      </c>
      <c r="F251" s="1" t="s">
        <v>703</v>
      </c>
      <c r="G251" t="s">
        <v>672</v>
      </c>
      <c r="H251" s="2" t="str">
        <f>F248</f>
        <v>CAD Inicial</v>
      </c>
      <c r="I251" t="s">
        <v>701</v>
      </c>
      <c r="J251" s="14"/>
      <c r="K251" s="14"/>
      <c r="L251" t="s">
        <v>29</v>
      </c>
      <c r="M251" s="20"/>
      <c r="N251" s="20"/>
      <c r="O251" s="20"/>
      <c r="P251" s="20"/>
      <c r="Q251" s="20"/>
      <c r="R251" s="20"/>
      <c r="S251" s="20"/>
      <c r="T251" s="25"/>
      <c r="U251" s="25"/>
      <c r="V251" s="25"/>
      <c r="W251" s="20"/>
      <c r="X251" s="20"/>
      <c r="Y251" s="20"/>
      <c r="Z251" s="20"/>
      <c r="AA251" s="20"/>
      <c r="AB251" s="20"/>
      <c r="AC251" s="20"/>
    </row>
    <row r="252" spans="2:29" ht="14.45">
      <c r="B252" t="s">
        <v>704</v>
      </c>
      <c r="C252" t="s">
        <v>646</v>
      </c>
      <c r="D252" t="s">
        <v>647</v>
      </c>
      <c r="E252" t="s">
        <v>648</v>
      </c>
      <c r="F252" s="1" t="s">
        <v>705</v>
      </c>
      <c r="G252" t="s">
        <v>672</v>
      </c>
      <c r="H252" s="14" t="s">
        <v>651</v>
      </c>
      <c r="I252" t="s">
        <v>676</v>
      </c>
      <c r="J252" s="14"/>
      <c r="K252" s="14"/>
      <c r="L252" t="s">
        <v>29</v>
      </c>
      <c r="M252" s="20"/>
      <c r="N252" s="20"/>
      <c r="O252" s="20"/>
      <c r="P252" s="20"/>
      <c r="Q252" s="20"/>
      <c r="R252" s="20"/>
      <c r="S252" s="20"/>
      <c r="T252" s="20"/>
      <c r="U252" s="25"/>
      <c r="V252" s="25"/>
      <c r="W252" s="25"/>
      <c r="X252" s="25"/>
      <c r="Y252" s="25"/>
      <c r="Z252" s="20"/>
      <c r="AA252" s="20"/>
      <c r="AB252" s="20"/>
      <c r="AC252" s="20"/>
    </row>
    <row r="253" spans="2:29" ht="14.45">
      <c r="B253" t="s">
        <v>706</v>
      </c>
      <c r="C253" t="s">
        <v>646</v>
      </c>
      <c r="D253" t="s">
        <v>647</v>
      </c>
      <c r="E253" t="s">
        <v>648</v>
      </c>
      <c r="F253" s="1" t="s">
        <v>707</v>
      </c>
      <c r="G253" t="s">
        <v>121</v>
      </c>
      <c r="H253" s="2" t="s">
        <v>708</v>
      </c>
      <c r="I253" t="s">
        <v>694</v>
      </c>
      <c r="J253" s="14"/>
      <c r="K253" s="14"/>
      <c r="L253" t="s">
        <v>29</v>
      </c>
      <c r="M253" s="20"/>
      <c r="N253" s="20"/>
      <c r="O253" s="20"/>
      <c r="P253" s="20"/>
      <c r="Q253" s="20"/>
      <c r="R253" s="24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2:29" ht="14.45">
      <c r="B254" t="s">
        <v>709</v>
      </c>
      <c r="C254" t="s">
        <v>646</v>
      </c>
      <c r="D254" t="s">
        <v>647</v>
      </c>
      <c r="E254" t="s">
        <v>648</v>
      </c>
      <c r="F254" s="1" t="s">
        <v>710</v>
      </c>
      <c r="G254" t="s">
        <v>672</v>
      </c>
      <c r="H254" s="2" t="s">
        <v>711</v>
      </c>
      <c r="I254" t="s">
        <v>6</v>
      </c>
      <c r="J254" s="26">
        <v>46105</v>
      </c>
      <c r="K254" s="26">
        <v>46112</v>
      </c>
      <c r="L254" t="s">
        <v>29</v>
      </c>
      <c r="M254" s="20"/>
      <c r="N254" s="20"/>
      <c r="O254" s="20"/>
      <c r="P254" s="20"/>
      <c r="Q254" s="20"/>
      <c r="R254" s="20"/>
      <c r="S254" s="24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2:29" ht="29.1">
      <c r="B255" t="s">
        <v>712</v>
      </c>
      <c r="C255" t="s">
        <v>646</v>
      </c>
      <c r="D255" t="s">
        <v>647</v>
      </c>
      <c r="E255" t="s">
        <v>648</v>
      </c>
      <c r="F255" s="1" t="s">
        <v>713</v>
      </c>
      <c r="G255" t="s">
        <v>121</v>
      </c>
      <c r="H255" s="1" t="s">
        <v>671</v>
      </c>
      <c r="I255" t="s">
        <v>276</v>
      </c>
      <c r="J255" s="26">
        <v>46105</v>
      </c>
      <c r="K255" s="26">
        <v>46119</v>
      </c>
      <c r="L255" t="s">
        <v>29</v>
      </c>
      <c r="M255" s="20"/>
      <c r="N255" s="20"/>
      <c r="O255" s="20"/>
      <c r="P255" s="20"/>
      <c r="Q255" s="20"/>
      <c r="R255" s="20"/>
      <c r="S255" s="24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2:29" ht="14.45">
      <c r="B256" t="s">
        <v>714</v>
      </c>
      <c r="C256" t="s">
        <v>646</v>
      </c>
      <c r="D256" t="s">
        <v>647</v>
      </c>
      <c r="E256" t="s">
        <v>648</v>
      </c>
      <c r="F256" s="1" t="s">
        <v>715</v>
      </c>
      <c r="G256" t="s">
        <v>650</v>
      </c>
      <c r="H256" s="2" t="s">
        <v>716</v>
      </c>
      <c r="I256" t="s">
        <v>276</v>
      </c>
      <c r="J256" s="26">
        <v>46105</v>
      </c>
      <c r="K256" s="26">
        <v>46112</v>
      </c>
      <c r="L256" t="s">
        <v>29</v>
      </c>
      <c r="M256" s="20"/>
      <c r="N256" s="20"/>
      <c r="O256" s="20"/>
      <c r="P256" s="20"/>
      <c r="Q256" s="20"/>
      <c r="R256" s="20"/>
      <c r="S256" s="24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2:29" ht="14.45">
      <c r="B257" t="s">
        <v>717</v>
      </c>
      <c r="C257" t="s">
        <v>646</v>
      </c>
      <c r="D257" t="s">
        <v>647</v>
      </c>
      <c r="E257" t="s">
        <v>648</v>
      </c>
      <c r="F257" s="1" t="s">
        <v>718</v>
      </c>
      <c r="G257" t="s">
        <v>650</v>
      </c>
      <c r="H257" s="2" t="s">
        <v>719</v>
      </c>
      <c r="I257" t="s">
        <v>694</v>
      </c>
      <c r="L257" t="s">
        <v>29</v>
      </c>
      <c r="M257" s="20"/>
      <c r="N257" s="20"/>
      <c r="O257" s="34"/>
      <c r="P257" s="34"/>
      <c r="Q257" s="34"/>
      <c r="R257" s="34"/>
      <c r="S257" s="34"/>
      <c r="T257" s="47"/>
      <c r="U257" s="34"/>
      <c r="V257" s="34"/>
      <c r="W257" s="34"/>
      <c r="X257" s="34"/>
      <c r="Y257" s="34"/>
      <c r="Z257" s="34"/>
      <c r="AA257" s="34"/>
      <c r="AB257" s="20"/>
      <c r="AC257" s="20"/>
    </row>
    <row r="258" spans="2:29" ht="14.45">
      <c r="B258" t="s">
        <v>720</v>
      </c>
      <c r="C258" t="s">
        <v>646</v>
      </c>
      <c r="D258" t="s">
        <v>647</v>
      </c>
      <c r="E258" t="s">
        <v>648</v>
      </c>
      <c r="F258" s="1" t="s">
        <v>721</v>
      </c>
      <c r="G258" t="s">
        <v>650</v>
      </c>
      <c r="H258" s="2" t="s">
        <v>718</v>
      </c>
      <c r="I258" t="s">
        <v>722</v>
      </c>
      <c r="J258" s="26">
        <v>46105</v>
      </c>
      <c r="K258" s="26">
        <v>46112</v>
      </c>
      <c r="L258" t="s">
        <v>29</v>
      </c>
      <c r="M258" s="20"/>
      <c r="N258" s="31"/>
      <c r="O258" s="28"/>
      <c r="P258" s="49"/>
      <c r="Q258" s="49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36"/>
      <c r="AC258" s="20"/>
    </row>
    <row r="259" spans="2:29" s="111" customFormat="1" ht="14.45">
      <c r="B259" t="s">
        <v>723</v>
      </c>
      <c r="C259" t="s">
        <v>646</v>
      </c>
      <c r="D259" t="s">
        <v>647</v>
      </c>
      <c r="E259" t="s">
        <v>648</v>
      </c>
      <c r="F259" s="1" t="s">
        <v>724</v>
      </c>
      <c r="G259" t="s">
        <v>650</v>
      </c>
      <c r="H259" s="2" t="s">
        <v>721</v>
      </c>
      <c r="I259" t="s">
        <v>276</v>
      </c>
      <c r="J259"/>
      <c r="K259"/>
      <c r="L259" t="s">
        <v>29</v>
      </c>
      <c r="M259" s="114"/>
      <c r="N259" s="115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6"/>
      <c r="AC259" s="114"/>
    </row>
    <row r="260" spans="2:29" ht="14.45">
      <c r="B260" t="s">
        <v>725</v>
      </c>
      <c r="C260" t="s">
        <v>646</v>
      </c>
      <c r="D260" t="s">
        <v>647</v>
      </c>
      <c r="E260" t="s">
        <v>648</v>
      </c>
      <c r="F260" s="1" t="s">
        <v>726</v>
      </c>
      <c r="G260" t="s">
        <v>672</v>
      </c>
      <c r="H260" s="2" t="s">
        <v>724</v>
      </c>
      <c r="I260" t="s">
        <v>6</v>
      </c>
      <c r="J260" s="26">
        <v>46119</v>
      </c>
      <c r="K260" s="26">
        <v>46126</v>
      </c>
      <c r="L260" t="s">
        <v>29</v>
      </c>
      <c r="M260" s="20"/>
      <c r="N260" s="31"/>
      <c r="O260" s="28"/>
      <c r="P260" s="28"/>
      <c r="Q260" s="28"/>
      <c r="R260" s="28"/>
      <c r="S260" s="49"/>
      <c r="T260" s="49"/>
      <c r="V260" s="28"/>
      <c r="W260" s="28"/>
      <c r="X260" s="28"/>
      <c r="Y260" s="28"/>
      <c r="Z260" s="28"/>
      <c r="AA260" s="28"/>
      <c r="AB260" s="36"/>
      <c r="AC260" s="20"/>
    </row>
    <row r="261" spans="2:29" ht="29.1">
      <c r="B261" t="s">
        <v>727</v>
      </c>
      <c r="C261" t="s">
        <v>646</v>
      </c>
      <c r="D261" t="s">
        <v>647</v>
      </c>
      <c r="E261" t="s">
        <v>648</v>
      </c>
      <c r="F261" s="1" t="s">
        <v>728</v>
      </c>
      <c r="G261" t="s">
        <v>650</v>
      </c>
      <c r="H261" s="2" t="s">
        <v>729</v>
      </c>
      <c r="I261" t="s">
        <v>6</v>
      </c>
      <c r="J261" s="26">
        <v>46105</v>
      </c>
      <c r="K261" s="26">
        <v>46119</v>
      </c>
      <c r="L261" t="s">
        <v>29</v>
      </c>
      <c r="M261" s="20"/>
      <c r="N261" s="31"/>
      <c r="O261" s="28"/>
      <c r="P261" s="49"/>
      <c r="Q261" s="49"/>
      <c r="R261" s="49"/>
      <c r="S261" s="49"/>
      <c r="T261" s="28"/>
      <c r="U261" s="28"/>
      <c r="V261" s="28"/>
      <c r="W261" s="28"/>
      <c r="X261" s="28"/>
      <c r="Y261" s="28"/>
      <c r="Z261" s="28"/>
      <c r="AA261" s="28"/>
      <c r="AB261" s="36"/>
      <c r="AC261" s="20"/>
    </row>
    <row r="262" spans="2:29" ht="14.45">
      <c r="B262" s="111" t="s">
        <v>730</v>
      </c>
      <c r="C262" s="111" t="s">
        <v>646</v>
      </c>
      <c r="D262" s="111" t="s">
        <v>647</v>
      </c>
      <c r="E262" s="111" t="s">
        <v>648</v>
      </c>
      <c r="F262" s="102" t="s">
        <v>731</v>
      </c>
      <c r="G262" s="111" t="s">
        <v>650</v>
      </c>
      <c r="H262" s="113" t="s">
        <v>732</v>
      </c>
      <c r="I262" s="111" t="s">
        <v>6</v>
      </c>
      <c r="J262" s="112">
        <v>46112</v>
      </c>
      <c r="K262" s="112">
        <v>46140</v>
      </c>
      <c r="L262" s="111" t="s">
        <v>33</v>
      </c>
      <c r="M262" s="20"/>
      <c r="N262" s="31"/>
      <c r="O262" s="28"/>
      <c r="P262" s="28"/>
      <c r="Q262" s="28"/>
      <c r="R262" s="50"/>
      <c r="S262" s="50"/>
      <c r="T262" s="50"/>
      <c r="U262" s="51"/>
      <c r="V262" s="50"/>
      <c r="W262" s="50"/>
      <c r="X262" s="50"/>
      <c r="Y262" s="28"/>
      <c r="Z262" s="28"/>
      <c r="AA262" s="28"/>
      <c r="AB262" s="36"/>
      <c r="AC262" s="20"/>
    </row>
    <row r="263" spans="2:29" ht="14.45">
      <c r="B263" t="s">
        <v>733</v>
      </c>
      <c r="C263" t="s">
        <v>646</v>
      </c>
      <c r="D263" t="s">
        <v>647</v>
      </c>
      <c r="E263" t="s">
        <v>648</v>
      </c>
      <c r="F263" s="1" t="s">
        <v>734</v>
      </c>
      <c r="G263" t="s">
        <v>121</v>
      </c>
      <c r="H263" s="2" t="s">
        <v>88</v>
      </c>
      <c r="I263" t="s">
        <v>735</v>
      </c>
      <c r="J263" s="14"/>
      <c r="K263" s="14"/>
      <c r="L263" t="s">
        <v>29</v>
      </c>
      <c r="M263" s="20"/>
      <c r="N263" s="31"/>
      <c r="O263" s="28"/>
      <c r="P263" s="49"/>
      <c r="Q263" s="49"/>
      <c r="R263" s="49"/>
      <c r="S263" s="49"/>
      <c r="T263" s="28"/>
      <c r="U263" s="28"/>
      <c r="V263" s="28"/>
      <c r="W263" s="28"/>
      <c r="X263" s="28"/>
      <c r="Y263" s="28"/>
      <c r="Z263" s="28"/>
      <c r="AA263" s="28"/>
      <c r="AB263" s="36"/>
      <c r="AC263" s="20"/>
    </row>
    <row r="264" spans="2:29" ht="14.45">
      <c r="B264" t="s">
        <v>736</v>
      </c>
      <c r="C264" t="s">
        <v>646</v>
      </c>
      <c r="D264" t="s">
        <v>647</v>
      </c>
      <c r="E264" t="s">
        <v>648</v>
      </c>
      <c r="F264" s="1" t="s">
        <v>732</v>
      </c>
      <c r="G264" t="s">
        <v>260</v>
      </c>
      <c r="H264" s="2" t="s">
        <v>737</v>
      </c>
      <c r="I264" t="s">
        <v>6</v>
      </c>
      <c r="J264" s="14"/>
      <c r="K264" s="14"/>
      <c r="L264" t="s">
        <v>29</v>
      </c>
      <c r="M264" s="20"/>
      <c r="N264" s="31"/>
      <c r="O264" s="28"/>
      <c r="P264" s="28"/>
      <c r="Q264" s="28"/>
      <c r="R264" s="28"/>
      <c r="S264" s="28"/>
      <c r="T264" s="28"/>
      <c r="U264" s="28"/>
      <c r="V264" s="52"/>
      <c r="W264" s="52"/>
      <c r="X264" s="52"/>
      <c r="Y264" s="28"/>
      <c r="Z264" s="28"/>
      <c r="AA264" s="28"/>
      <c r="AB264" s="36"/>
      <c r="AC264" s="20"/>
    </row>
    <row r="265" spans="2:29" s="111" customFormat="1" ht="14.45">
      <c r="B265" t="s">
        <v>738</v>
      </c>
      <c r="C265" t="s">
        <v>646</v>
      </c>
      <c r="D265" t="s">
        <v>647</v>
      </c>
      <c r="E265" t="s">
        <v>648</v>
      </c>
      <c r="F265" s="1" t="s">
        <v>737</v>
      </c>
      <c r="G265" t="s">
        <v>121</v>
      </c>
      <c r="H265" s="2" t="s">
        <v>732</v>
      </c>
      <c r="I265" t="s">
        <v>739</v>
      </c>
      <c r="J265" s="14"/>
      <c r="K265" s="14"/>
      <c r="L265" t="s">
        <v>29</v>
      </c>
      <c r="M265" s="114"/>
      <c r="N265" s="115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6"/>
      <c r="AC265" s="114"/>
    </row>
    <row r="266" spans="2:29" ht="14.45">
      <c r="B266" t="s">
        <v>740</v>
      </c>
      <c r="C266" t="s">
        <v>646</v>
      </c>
      <c r="D266" t="s">
        <v>647</v>
      </c>
      <c r="E266" t="s">
        <v>648</v>
      </c>
      <c r="F266" s="1" t="s">
        <v>741</v>
      </c>
      <c r="G266" t="s">
        <v>121</v>
      </c>
      <c r="H266" s="2" t="s">
        <v>737</v>
      </c>
      <c r="I266" t="s">
        <v>739</v>
      </c>
      <c r="J266" s="14"/>
      <c r="K266" s="14"/>
      <c r="L266" t="s">
        <v>29</v>
      </c>
      <c r="M266" s="20"/>
      <c r="N266" s="31"/>
      <c r="O266" s="28"/>
      <c r="P266" s="28"/>
      <c r="Q266" s="28"/>
      <c r="R266" s="28"/>
      <c r="S266" s="28"/>
      <c r="T266" s="28"/>
      <c r="U266" s="28"/>
      <c r="V266" s="52"/>
      <c r="W266" s="52"/>
      <c r="X266" s="52"/>
      <c r="Y266" s="28"/>
      <c r="Z266" s="28"/>
      <c r="AA266" s="28"/>
      <c r="AB266" s="36"/>
      <c r="AC266" s="20"/>
    </row>
    <row r="267" spans="2:29" ht="14.45">
      <c r="B267" t="s">
        <v>742</v>
      </c>
      <c r="C267" t="s">
        <v>646</v>
      </c>
      <c r="D267" t="s">
        <v>647</v>
      </c>
      <c r="E267" t="s">
        <v>648</v>
      </c>
      <c r="F267" s="1" t="s">
        <v>732</v>
      </c>
      <c r="G267" t="s">
        <v>260</v>
      </c>
      <c r="H267" s="2" t="s">
        <v>743</v>
      </c>
      <c r="I267" t="s">
        <v>6</v>
      </c>
      <c r="J267" s="14"/>
      <c r="K267" s="14"/>
      <c r="L267" t="s">
        <v>29</v>
      </c>
      <c r="M267" s="20"/>
      <c r="N267" s="31"/>
      <c r="O267" s="28"/>
      <c r="P267" s="28"/>
      <c r="Q267" s="49"/>
      <c r="R267" s="49"/>
      <c r="S267" s="49"/>
      <c r="T267" s="28"/>
      <c r="U267" s="28"/>
      <c r="V267" s="28"/>
      <c r="W267" s="28"/>
      <c r="X267" s="28"/>
      <c r="Y267" s="28"/>
      <c r="Z267" s="28"/>
      <c r="AA267" s="28"/>
      <c r="AB267" s="36"/>
      <c r="AC267" s="20"/>
    </row>
    <row r="268" spans="2:29" ht="14.45">
      <c r="B268" s="111" t="s">
        <v>744</v>
      </c>
      <c r="C268" s="111" t="s">
        <v>646</v>
      </c>
      <c r="D268" s="111" t="s">
        <v>647</v>
      </c>
      <c r="E268" s="111" t="s">
        <v>648</v>
      </c>
      <c r="F268" s="102" t="s">
        <v>745</v>
      </c>
      <c r="G268" s="111" t="s">
        <v>260</v>
      </c>
      <c r="H268" s="113" t="s">
        <v>746</v>
      </c>
      <c r="I268" s="111" t="s">
        <v>6</v>
      </c>
      <c r="J268" s="112">
        <v>46112</v>
      </c>
      <c r="K268" s="112">
        <v>46140</v>
      </c>
      <c r="L268" s="111" t="s">
        <v>33</v>
      </c>
      <c r="M268" s="20"/>
      <c r="N268" s="31"/>
      <c r="O268" s="28"/>
      <c r="P268" s="28"/>
      <c r="Q268" s="49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36"/>
      <c r="AC268" s="20"/>
    </row>
    <row r="269" spans="2:29" ht="14.45">
      <c r="B269" t="s">
        <v>747</v>
      </c>
      <c r="C269" t="s">
        <v>646</v>
      </c>
      <c r="D269" t="s">
        <v>647</v>
      </c>
      <c r="E269" t="s">
        <v>748</v>
      </c>
      <c r="F269" s="1" t="s">
        <v>749</v>
      </c>
      <c r="G269" t="s">
        <v>750</v>
      </c>
      <c r="H269" s="2"/>
      <c r="I269" t="s">
        <v>739</v>
      </c>
      <c r="J269" s="14"/>
      <c r="K269" s="14"/>
      <c r="L269" t="s">
        <v>29</v>
      </c>
      <c r="M269" s="20"/>
      <c r="N269" s="31"/>
      <c r="O269" s="49"/>
      <c r="P269" s="49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36"/>
      <c r="AC269" s="20"/>
    </row>
    <row r="270" spans="2:29" s="111" customFormat="1" ht="14.45">
      <c r="B270" t="s">
        <v>751</v>
      </c>
      <c r="C270" t="s">
        <v>646</v>
      </c>
      <c r="D270" t="s">
        <v>647</v>
      </c>
      <c r="E270" t="s">
        <v>748</v>
      </c>
      <c r="F270" s="1" t="s">
        <v>752</v>
      </c>
      <c r="G270" t="s">
        <v>750</v>
      </c>
      <c r="H270" s="2" t="s">
        <v>749</v>
      </c>
      <c r="I270" t="s">
        <v>753</v>
      </c>
      <c r="J270" s="14"/>
      <c r="K270" s="14"/>
      <c r="L270" t="s">
        <v>29</v>
      </c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</row>
    <row r="271" spans="2:29" ht="43.5">
      <c r="B271" t="s">
        <v>754</v>
      </c>
      <c r="C271" t="s">
        <v>646</v>
      </c>
      <c r="D271" t="s">
        <v>647</v>
      </c>
      <c r="E271" t="s">
        <v>748</v>
      </c>
      <c r="F271" s="1" t="s">
        <v>755</v>
      </c>
      <c r="G271" t="s">
        <v>121</v>
      </c>
      <c r="H271" s="2" t="s">
        <v>756</v>
      </c>
      <c r="I271" t="s">
        <v>739</v>
      </c>
      <c r="J271" s="14"/>
      <c r="K271" s="14"/>
      <c r="L271" t="s">
        <v>29</v>
      </c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2:29" ht="0.6" customHeight="1">
      <c r="B272" t="s">
        <v>757</v>
      </c>
      <c r="C272" t="s">
        <v>646</v>
      </c>
      <c r="D272" t="s">
        <v>647</v>
      </c>
      <c r="E272" t="s">
        <v>748</v>
      </c>
      <c r="F272" s="1" t="s">
        <v>758</v>
      </c>
      <c r="G272" t="s">
        <v>759</v>
      </c>
      <c r="H272" s="2" t="s">
        <v>760</v>
      </c>
      <c r="I272" t="s">
        <v>753</v>
      </c>
      <c r="J272" s="14"/>
      <c r="K272" s="14"/>
      <c r="L272" t="s">
        <v>29</v>
      </c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2:29" s="111" customFormat="1" ht="14.45">
      <c r="B273" s="111" t="s">
        <v>761</v>
      </c>
      <c r="C273" s="111" t="s">
        <v>646</v>
      </c>
      <c r="D273" s="111" t="s">
        <v>647</v>
      </c>
      <c r="E273" s="111" t="s">
        <v>748</v>
      </c>
      <c r="F273" s="102" t="s">
        <v>762</v>
      </c>
      <c r="G273" s="111" t="s">
        <v>763</v>
      </c>
      <c r="H273" s="113" t="s">
        <v>764</v>
      </c>
      <c r="I273" s="111" t="s">
        <v>6</v>
      </c>
      <c r="J273" s="112">
        <v>46105</v>
      </c>
      <c r="K273" s="112">
        <v>46139</v>
      </c>
      <c r="L273" s="111" t="s">
        <v>106</v>
      </c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</row>
    <row r="274" spans="2:29" s="111" customFormat="1" ht="14.45" hidden="1">
      <c r="B274" t="s">
        <v>765</v>
      </c>
      <c r="C274" t="s">
        <v>646</v>
      </c>
      <c r="D274" t="s">
        <v>647</v>
      </c>
      <c r="E274" t="s">
        <v>748</v>
      </c>
      <c r="F274" s="1" t="s">
        <v>766</v>
      </c>
      <c r="G274" t="s">
        <v>763</v>
      </c>
      <c r="H274" s="2" t="s">
        <v>767</v>
      </c>
      <c r="I274" t="s">
        <v>6</v>
      </c>
      <c r="J274" s="26">
        <v>46105</v>
      </c>
      <c r="K274" s="26">
        <v>46139</v>
      </c>
      <c r="L274" t="s">
        <v>29</v>
      </c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</row>
    <row r="275" spans="2:29" ht="14.45" hidden="1">
      <c r="B275" t="s">
        <v>768</v>
      </c>
      <c r="C275" t="s">
        <v>646</v>
      </c>
      <c r="D275" t="s">
        <v>647</v>
      </c>
      <c r="E275" t="s">
        <v>748</v>
      </c>
      <c r="F275" s="1" t="s">
        <v>769</v>
      </c>
      <c r="G275" t="s">
        <v>763</v>
      </c>
      <c r="H275" s="2" t="s">
        <v>770</v>
      </c>
      <c r="I275" t="s">
        <v>6</v>
      </c>
      <c r="J275" s="26">
        <v>46105</v>
      </c>
      <c r="K275" s="26">
        <v>46139</v>
      </c>
      <c r="L275" t="s">
        <v>29</v>
      </c>
      <c r="M275" s="20"/>
      <c r="N275" s="20"/>
      <c r="O275" s="20"/>
      <c r="P275" s="20"/>
      <c r="Q275" s="25"/>
      <c r="R275" s="25"/>
      <c r="S275" s="25"/>
      <c r="T275" s="25"/>
      <c r="U275" s="25"/>
      <c r="V275" s="25"/>
      <c r="W275" s="20"/>
      <c r="X275" s="20"/>
      <c r="Y275" s="20"/>
      <c r="Z275" s="20"/>
      <c r="AA275" s="20"/>
      <c r="AB275" s="20"/>
      <c r="AC275" s="20"/>
    </row>
    <row r="276" spans="2:29" ht="14.45">
      <c r="B276" s="111" t="s">
        <v>771</v>
      </c>
      <c r="C276" s="111" t="s">
        <v>646</v>
      </c>
      <c r="D276" s="111" t="s">
        <v>647</v>
      </c>
      <c r="E276" s="111" t="s">
        <v>748</v>
      </c>
      <c r="F276" s="102" t="s">
        <v>772</v>
      </c>
      <c r="G276" s="111" t="s">
        <v>763</v>
      </c>
      <c r="H276" s="113" t="s">
        <v>773</v>
      </c>
      <c r="I276" s="111" t="s">
        <v>6</v>
      </c>
      <c r="J276" s="112">
        <v>46105</v>
      </c>
      <c r="K276" s="112">
        <v>46139</v>
      </c>
      <c r="L276" s="111" t="s">
        <v>106</v>
      </c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2:29" s="111" customFormat="1" ht="14.45" hidden="1">
      <c r="B277" s="111" t="s">
        <v>774</v>
      </c>
      <c r="C277" s="111" t="s">
        <v>646</v>
      </c>
      <c r="D277" s="111" t="s">
        <v>647</v>
      </c>
      <c r="E277" s="111" t="s">
        <v>748</v>
      </c>
      <c r="F277" s="102" t="s">
        <v>775</v>
      </c>
      <c r="G277" s="111" t="s">
        <v>672</v>
      </c>
      <c r="H277" s="113" t="s">
        <v>772</v>
      </c>
      <c r="I277" s="111" t="s">
        <v>6</v>
      </c>
      <c r="J277" s="112">
        <v>46139</v>
      </c>
      <c r="K277" s="112">
        <v>46146</v>
      </c>
      <c r="L277" s="111" t="s">
        <v>33</v>
      </c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</row>
    <row r="278" spans="2:29" s="111" customFormat="1" ht="43.5" hidden="1">
      <c r="B278" t="s">
        <v>776</v>
      </c>
      <c r="C278" t="s">
        <v>646</v>
      </c>
      <c r="D278" t="s">
        <v>647</v>
      </c>
      <c r="E278" t="s">
        <v>748</v>
      </c>
      <c r="F278" s="1" t="s">
        <v>777</v>
      </c>
      <c r="G278" s="2" t="s">
        <v>778</v>
      </c>
      <c r="H278" s="2" t="s">
        <v>779</v>
      </c>
      <c r="I278" t="s">
        <v>6</v>
      </c>
      <c r="J278" s="14"/>
      <c r="K278" s="14"/>
      <c r="L278" t="s">
        <v>29</v>
      </c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</row>
    <row r="279" spans="2:29" ht="14.45" hidden="1">
      <c r="B279" t="s">
        <v>780</v>
      </c>
      <c r="C279" t="s">
        <v>646</v>
      </c>
      <c r="D279" t="s">
        <v>647</v>
      </c>
      <c r="E279" t="s">
        <v>781</v>
      </c>
      <c r="F279" s="1" t="s">
        <v>782</v>
      </c>
      <c r="G279" t="s">
        <v>672</v>
      </c>
      <c r="H279" s="2" t="s">
        <v>783</v>
      </c>
      <c r="I279" t="s">
        <v>6</v>
      </c>
      <c r="J279" s="26">
        <v>46084</v>
      </c>
      <c r="K279" s="26">
        <v>46119</v>
      </c>
      <c r="L279" t="s">
        <v>29</v>
      </c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2:29" ht="14.45" hidden="1">
      <c r="B280" s="111" t="s">
        <v>784</v>
      </c>
      <c r="C280" s="111" t="s">
        <v>646</v>
      </c>
      <c r="D280" s="111" t="s">
        <v>647</v>
      </c>
      <c r="E280" s="111" t="s">
        <v>781</v>
      </c>
      <c r="F280" s="102" t="s">
        <v>785</v>
      </c>
      <c r="G280" s="111" t="s">
        <v>672</v>
      </c>
      <c r="H280" s="113" t="s">
        <v>783</v>
      </c>
      <c r="I280" s="111" t="s">
        <v>786</v>
      </c>
      <c r="J280" s="112">
        <v>46084</v>
      </c>
      <c r="K280" s="112">
        <v>46119</v>
      </c>
      <c r="L280" s="111" t="s">
        <v>33</v>
      </c>
      <c r="M280" s="20"/>
      <c r="N280" s="20"/>
      <c r="O280" s="20"/>
      <c r="P280" s="28"/>
      <c r="Q280" s="28"/>
      <c r="R280" s="28"/>
      <c r="S280" s="24"/>
      <c r="T280" s="24"/>
      <c r="U280" s="24"/>
      <c r="V280" s="20"/>
      <c r="W280" s="20"/>
      <c r="X280" s="20"/>
      <c r="Y280" s="20"/>
      <c r="Z280" s="20"/>
      <c r="AA280" s="20"/>
      <c r="AB280" s="20"/>
      <c r="AC280" s="20"/>
    </row>
    <row r="281" spans="2:29" ht="14.45" hidden="1">
      <c r="B281" s="111" t="s">
        <v>787</v>
      </c>
      <c r="C281" s="111" t="s">
        <v>646</v>
      </c>
      <c r="D281" s="111" t="s">
        <v>647</v>
      </c>
      <c r="E281" s="111" t="s">
        <v>781</v>
      </c>
      <c r="F281" s="102" t="s">
        <v>788</v>
      </c>
      <c r="G281" s="111" t="s">
        <v>672</v>
      </c>
      <c r="H281" s="113" t="s">
        <v>783</v>
      </c>
      <c r="I281" s="111" t="s">
        <v>789</v>
      </c>
      <c r="J281" s="112">
        <v>46084</v>
      </c>
      <c r="K281" s="112">
        <v>46119</v>
      </c>
      <c r="L281" s="111" t="s">
        <v>33</v>
      </c>
      <c r="M281" s="20"/>
      <c r="N281" s="20"/>
      <c r="O281" s="20"/>
      <c r="P281" s="24"/>
      <c r="Q281" s="24"/>
      <c r="R281" s="24"/>
      <c r="S281" s="24"/>
      <c r="T281" s="24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2:29" ht="14.45" hidden="1">
      <c r="B282" t="s">
        <v>790</v>
      </c>
      <c r="C282" t="s">
        <v>646</v>
      </c>
      <c r="D282" t="s">
        <v>647</v>
      </c>
      <c r="E282" t="s">
        <v>781</v>
      </c>
      <c r="F282" s="1" t="s">
        <v>791</v>
      </c>
      <c r="G282" t="s">
        <v>672</v>
      </c>
      <c r="H282" s="2" t="s">
        <v>783</v>
      </c>
      <c r="I282" t="s">
        <v>6</v>
      </c>
      <c r="J282" s="26">
        <v>46084</v>
      </c>
      <c r="K282" s="26">
        <v>46119</v>
      </c>
      <c r="L282" t="s">
        <v>29</v>
      </c>
      <c r="M282" s="20"/>
      <c r="N282" s="20"/>
      <c r="O282" s="20"/>
      <c r="P282" s="24"/>
      <c r="Q282" s="24"/>
      <c r="R282" s="24"/>
      <c r="S282" s="24"/>
      <c r="T282" s="24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2:29" ht="14.45" hidden="1">
      <c r="B283" t="s">
        <v>792</v>
      </c>
      <c r="C283" t="s">
        <v>646</v>
      </c>
      <c r="D283" t="s">
        <v>647</v>
      </c>
      <c r="E283" t="s">
        <v>781</v>
      </c>
      <c r="F283" s="8" t="s">
        <v>793</v>
      </c>
      <c r="G283" t="s">
        <v>672</v>
      </c>
      <c r="H283" s="2" t="s">
        <v>783</v>
      </c>
      <c r="I283" t="s">
        <v>6</v>
      </c>
      <c r="J283" s="26">
        <v>46084</v>
      </c>
      <c r="K283" s="26">
        <v>46119</v>
      </c>
      <c r="L283" t="s">
        <v>29</v>
      </c>
      <c r="M283" s="20"/>
      <c r="N283" s="20"/>
      <c r="O283" s="20"/>
      <c r="P283" s="25"/>
      <c r="Q283" s="25"/>
      <c r="R283" s="25"/>
      <c r="S283" s="25"/>
      <c r="T283" s="25"/>
      <c r="U283" s="25"/>
      <c r="V283" s="28"/>
      <c r="W283" s="28"/>
      <c r="X283" s="20"/>
      <c r="Y283" s="20"/>
      <c r="Z283" s="20"/>
      <c r="AA283" s="20"/>
      <c r="AB283" s="20"/>
      <c r="AC283" s="20"/>
    </row>
    <row r="284" spans="2:29" ht="14.45" hidden="1">
      <c r="B284" t="s">
        <v>794</v>
      </c>
      <c r="C284" t="s">
        <v>646</v>
      </c>
      <c r="D284" t="s">
        <v>647</v>
      </c>
      <c r="E284" t="s">
        <v>781</v>
      </c>
      <c r="F284" s="8" t="s">
        <v>795</v>
      </c>
      <c r="G284" t="s">
        <v>672</v>
      </c>
      <c r="H284" s="2" t="s">
        <v>783</v>
      </c>
      <c r="I284" t="s">
        <v>6</v>
      </c>
      <c r="J284" s="26">
        <v>46084</v>
      </c>
      <c r="K284" s="26">
        <v>46119</v>
      </c>
      <c r="L284" t="s">
        <v>29</v>
      </c>
      <c r="M284" s="20"/>
      <c r="N284" s="20"/>
      <c r="O284" s="20"/>
      <c r="P284" s="24"/>
      <c r="Q284" s="24"/>
      <c r="R284" s="24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2:29" s="111" customFormat="1" ht="14.45" hidden="1">
      <c r="B285" t="s">
        <v>796</v>
      </c>
      <c r="C285" t="s">
        <v>646</v>
      </c>
      <c r="D285" t="s">
        <v>647</v>
      </c>
      <c r="E285" t="s">
        <v>781</v>
      </c>
      <c r="F285" s="1" t="s">
        <v>797</v>
      </c>
      <c r="G285" t="s">
        <v>672</v>
      </c>
      <c r="H285" s="2" t="s">
        <v>783</v>
      </c>
      <c r="I285" t="s">
        <v>6</v>
      </c>
      <c r="J285" s="26">
        <v>46084</v>
      </c>
      <c r="K285" s="26">
        <v>46119</v>
      </c>
      <c r="L285" t="s">
        <v>29</v>
      </c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</row>
    <row r="286" spans="2:29" ht="29.1" hidden="1">
      <c r="B286" t="s">
        <v>798</v>
      </c>
      <c r="C286" t="s">
        <v>646</v>
      </c>
      <c r="D286" t="s">
        <v>647</v>
      </c>
      <c r="E286" t="s">
        <v>781</v>
      </c>
      <c r="F286" s="1" t="s">
        <v>799</v>
      </c>
      <c r="G286" t="s">
        <v>672</v>
      </c>
      <c r="H286" s="2" t="s">
        <v>783</v>
      </c>
      <c r="I286" t="s">
        <v>6</v>
      </c>
      <c r="J286" s="26">
        <v>46084</v>
      </c>
      <c r="K286" s="26">
        <v>46119</v>
      </c>
      <c r="L286" t="s">
        <v>29</v>
      </c>
      <c r="M286" s="20"/>
      <c r="N286" s="20"/>
      <c r="O286" s="20"/>
      <c r="P286" s="20"/>
      <c r="Q286" s="20"/>
      <c r="R286" s="20"/>
      <c r="S286" s="20"/>
      <c r="T286" s="20"/>
      <c r="U286" s="25"/>
      <c r="V286" s="25"/>
      <c r="W286" s="25"/>
      <c r="X286" s="20"/>
      <c r="Y286" s="20"/>
      <c r="Z286" s="20"/>
      <c r="AA286" s="20"/>
      <c r="AB286" s="20"/>
      <c r="AC286" s="20"/>
    </row>
    <row r="287" spans="2:29" ht="29.1" hidden="1">
      <c r="B287" t="s">
        <v>800</v>
      </c>
      <c r="C287" t="s">
        <v>646</v>
      </c>
      <c r="D287" t="s">
        <v>647</v>
      </c>
      <c r="E287" t="s">
        <v>781</v>
      </c>
      <c r="F287" s="1" t="s">
        <v>801</v>
      </c>
      <c r="G287" t="s">
        <v>672</v>
      </c>
      <c r="H287" s="2" t="s">
        <v>783</v>
      </c>
      <c r="I287" t="s">
        <v>6</v>
      </c>
      <c r="J287" s="26">
        <v>46084</v>
      </c>
      <c r="K287" s="26">
        <v>46119</v>
      </c>
      <c r="L287" t="s">
        <v>29</v>
      </c>
      <c r="M287" s="20"/>
      <c r="N287" s="20"/>
      <c r="O287" s="20"/>
      <c r="P287" s="24"/>
      <c r="Q287" s="24"/>
      <c r="R287" s="24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2:29" ht="14.45" hidden="1">
      <c r="B288" s="111" t="s">
        <v>802</v>
      </c>
      <c r="C288" s="111" t="s">
        <v>646</v>
      </c>
      <c r="D288" s="111" t="s">
        <v>647</v>
      </c>
      <c r="E288" s="111" t="s">
        <v>781</v>
      </c>
      <c r="F288" s="102" t="s">
        <v>803</v>
      </c>
      <c r="G288" s="111" t="s">
        <v>672</v>
      </c>
      <c r="H288" s="113" t="s">
        <v>783</v>
      </c>
      <c r="I288" s="111" t="s">
        <v>646</v>
      </c>
      <c r="J288" s="112">
        <v>46084</v>
      </c>
      <c r="K288" s="112">
        <v>46133</v>
      </c>
      <c r="L288" s="111" t="s">
        <v>33</v>
      </c>
      <c r="M288" s="20"/>
      <c r="N288" s="20"/>
      <c r="O288" s="20"/>
      <c r="P288" s="20"/>
      <c r="Q288" s="20"/>
      <c r="R288" s="20"/>
      <c r="S288" s="25"/>
      <c r="T288" s="25"/>
      <c r="U288" s="25"/>
      <c r="V288" s="25"/>
      <c r="W288" s="20"/>
      <c r="X288" s="20"/>
      <c r="Y288" s="20"/>
      <c r="Z288" s="20"/>
      <c r="AA288" s="20"/>
      <c r="AB288" s="20"/>
      <c r="AC288" s="20"/>
    </row>
    <row r="289" spans="1:61" ht="14.45" hidden="1">
      <c r="B289" t="s">
        <v>804</v>
      </c>
      <c r="C289" t="s">
        <v>646</v>
      </c>
      <c r="D289" t="s">
        <v>647</v>
      </c>
      <c r="E289" t="s">
        <v>648</v>
      </c>
      <c r="F289" s="1" t="s">
        <v>805</v>
      </c>
      <c r="G289" t="s">
        <v>806</v>
      </c>
      <c r="H289" s="2"/>
      <c r="I289" t="s">
        <v>6</v>
      </c>
      <c r="J289" s="26">
        <v>46105</v>
      </c>
      <c r="K289" s="26">
        <v>46112</v>
      </c>
      <c r="L289" t="s">
        <v>29</v>
      </c>
      <c r="M289" s="20"/>
      <c r="N289" s="20"/>
      <c r="O289" s="20"/>
      <c r="P289" s="20"/>
      <c r="Q289" s="24"/>
      <c r="R289" s="24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61" ht="14.45" hidden="1">
      <c r="B290" t="s">
        <v>807</v>
      </c>
      <c r="C290" t="s">
        <v>646</v>
      </c>
      <c r="D290" t="s">
        <v>647</v>
      </c>
      <c r="E290" t="s">
        <v>648</v>
      </c>
      <c r="F290" s="1" t="s">
        <v>808</v>
      </c>
      <c r="G290" t="s">
        <v>650</v>
      </c>
      <c r="I290" t="s">
        <v>809</v>
      </c>
      <c r="J290" s="26">
        <v>46098</v>
      </c>
      <c r="K290" s="26">
        <v>46104</v>
      </c>
      <c r="L290" t="s">
        <v>29</v>
      </c>
      <c r="M290" s="20"/>
      <c r="N290" s="20"/>
      <c r="O290" s="20"/>
      <c r="P290" s="20"/>
      <c r="Q290" s="24"/>
      <c r="R290" s="24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61" ht="14.45" hidden="1">
      <c r="A291" s="6"/>
      <c r="B291" t="s">
        <v>810</v>
      </c>
      <c r="C291" t="s">
        <v>646</v>
      </c>
      <c r="D291" t="s">
        <v>647</v>
      </c>
      <c r="E291" t="s">
        <v>648</v>
      </c>
      <c r="F291" s="9" t="s">
        <v>811</v>
      </c>
      <c r="G291" t="s">
        <v>650</v>
      </c>
      <c r="I291" t="s">
        <v>812</v>
      </c>
      <c r="J291" s="26">
        <v>46098</v>
      </c>
      <c r="K291" s="26">
        <v>46104</v>
      </c>
      <c r="L291" t="s">
        <v>29</v>
      </c>
      <c r="M291" s="20"/>
      <c r="N291" s="20"/>
      <c r="O291" s="20"/>
      <c r="P291" s="20"/>
      <c r="Q291" s="20"/>
      <c r="R291" s="20"/>
      <c r="S291" s="20"/>
      <c r="T291" s="20"/>
      <c r="U291" s="25"/>
      <c r="V291" s="25"/>
      <c r="W291" s="25"/>
      <c r="X291" s="20"/>
      <c r="Y291" s="20"/>
      <c r="Z291" s="20"/>
      <c r="AA291" s="20"/>
      <c r="AB291" s="20"/>
      <c r="AC291" s="20"/>
    </row>
    <row r="292" spans="1:61" s="6" customFormat="1" ht="14.45" hidden="1">
      <c r="A292"/>
      <c r="B292" t="s">
        <v>813</v>
      </c>
      <c r="C292" t="s">
        <v>646</v>
      </c>
      <c r="D292" t="s">
        <v>647</v>
      </c>
      <c r="E292" t="s">
        <v>748</v>
      </c>
      <c r="F292" s="1" t="s">
        <v>814</v>
      </c>
      <c r="G292" t="s">
        <v>763</v>
      </c>
      <c r="H292"/>
      <c r="I292" t="s">
        <v>6</v>
      </c>
      <c r="J292" s="26">
        <v>46098</v>
      </c>
      <c r="K292" s="26">
        <v>46100</v>
      </c>
      <c r="L292" t="s">
        <v>29</v>
      </c>
      <c r="M292" s="20"/>
      <c r="N292" s="20"/>
      <c r="O292" s="20"/>
      <c r="P292" s="20"/>
      <c r="Q292" s="20"/>
      <c r="R292" s="20"/>
      <c r="S292" s="24"/>
      <c r="T292" s="24"/>
      <c r="U292" s="20"/>
      <c r="V292" s="20"/>
      <c r="W292" s="20"/>
      <c r="X292" s="20"/>
      <c r="Y292" s="20"/>
      <c r="Z292" s="20"/>
      <c r="AA292" s="20"/>
      <c r="AB292" s="20"/>
      <c r="AC292" s="20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</row>
    <row r="293" spans="1:61" ht="14.45" hidden="1">
      <c r="B293" t="s">
        <v>815</v>
      </c>
      <c r="C293" t="s">
        <v>646</v>
      </c>
      <c r="D293" t="s">
        <v>647</v>
      </c>
      <c r="E293" t="s">
        <v>648</v>
      </c>
      <c r="F293" s="1" t="s">
        <v>816</v>
      </c>
      <c r="G293" t="s">
        <v>260</v>
      </c>
      <c r="I293" t="s">
        <v>789</v>
      </c>
      <c r="J293" s="26">
        <v>46098</v>
      </c>
      <c r="K293" s="26">
        <v>46104</v>
      </c>
      <c r="L293" t="s">
        <v>29</v>
      </c>
      <c r="M293" s="20"/>
      <c r="N293" s="20"/>
      <c r="O293" s="20"/>
      <c r="P293" s="20"/>
      <c r="Q293" s="24"/>
      <c r="R293" s="24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61" ht="14.45" hidden="1">
      <c r="B294" t="s">
        <v>817</v>
      </c>
      <c r="C294" t="s">
        <v>646</v>
      </c>
      <c r="D294" t="s">
        <v>647</v>
      </c>
      <c r="E294" t="s">
        <v>648</v>
      </c>
      <c r="F294" s="8" t="s">
        <v>818</v>
      </c>
      <c r="G294" t="s">
        <v>260</v>
      </c>
      <c r="I294" t="s">
        <v>789</v>
      </c>
      <c r="J294" s="26">
        <v>46091</v>
      </c>
      <c r="K294" s="26">
        <v>46098</v>
      </c>
      <c r="L294" t="s">
        <v>29</v>
      </c>
      <c r="M294" s="20"/>
      <c r="N294" s="20"/>
      <c r="O294" s="20"/>
      <c r="P294" s="20"/>
      <c r="Q294" s="24"/>
      <c r="R294" s="24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61" ht="14.45" hidden="1">
      <c r="B295" t="s">
        <v>819</v>
      </c>
      <c r="C295" t="s">
        <v>646</v>
      </c>
      <c r="D295" t="s">
        <v>647</v>
      </c>
      <c r="E295" t="s">
        <v>648</v>
      </c>
      <c r="F295" s="1" t="s">
        <v>820</v>
      </c>
      <c r="G295" t="s">
        <v>260</v>
      </c>
      <c r="I295" t="s">
        <v>789</v>
      </c>
      <c r="J295" s="26">
        <v>46098</v>
      </c>
      <c r="K295" s="26">
        <v>46102</v>
      </c>
      <c r="L295" t="s">
        <v>29</v>
      </c>
      <c r="M295" s="20"/>
      <c r="N295" s="20"/>
      <c r="O295" s="20"/>
      <c r="P295" s="20"/>
      <c r="Q295" s="20"/>
      <c r="R295" s="24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61" ht="14.45" hidden="1">
      <c r="B296" t="s">
        <v>821</v>
      </c>
      <c r="C296" t="s">
        <v>646</v>
      </c>
      <c r="D296" t="s">
        <v>647</v>
      </c>
      <c r="E296" t="s">
        <v>648</v>
      </c>
      <c r="F296" s="1" t="s">
        <v>822</v>
      </c>
      <c r="G296" t="s">
        <v>260</v>
      </c>
      <c r="I296" t="s">
        <v>789</v>
      </c>
      <c r="J296" s="26">
        <v>46098</v>
      </c>
      <c r="K296" s="26">
        <v>46102</v>
      </c>
      <c r="L296" t="s">
        <v>29</v>
      </c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1:61" ht="14.45" hidden="1">
      <c r="B297" t="s">
        <v>823</v>
      </c>
      <c r="C297" t="s">
        <v>646</v>
      </c>
      <c r="D297" t="s">
        <v>647</v>
      </c>
      <c r="E297" t="s">
        <v>648</v>
      </c>
      <c r="F297" s="67" t="s">
        <v>824</v>
      </c>
      <c r="G297" t="s">
        <v>260</v>
      </c>
      <c r="I297" t="s">
        <v>789</v>
      </c>
      <c r="J297" s="26">
        <v>46098</v>
      </c>
      <c r="K297" s="26">
        <v>46102</v>
      </c>
      <c r="L297" t="s">
        <v>29</v>
      </c>
      <c r="M297" s="20"/>
      <c r="N297" s="20"/>
      <c r="O297" s="20"/>
      <c r="P297" s="20"/>
      <c r="Q297" s="25"/>
      <c r="R297" s="25"/>
      <c r="S297" s="25"/>
      <c r="T297" s="25"/>
      <c r="U297" s="25"/>
      <c r="V297" s="25"/>
      <c r="W297" s="20"/>
      <c r="X297" s="20"/>
      <c r="Y297" s="20"/>
      <c r="Z297" s="20"/>
      <c r="AA297" s="20"/>
      <c r="AB297" s="20"/>
      <c r="AC297" s="20"/>
    </row>
    <row r="298" spans="1:61" ht="14.45" hidden="1">
      <c r="B298" t="s">
        <v>825</v>
      </c>
      <c r="C298" t="s">
        <v>646</v>
      </c>
      <c r="D298" t="s">
        <v>647</v>
      </c>
      <c r="E298" t="s">
        <v>648</v>
      </c>
      <c r="F298" s="1" t="s">
        <v>826</v>
      </c>
      <c r="G298" t="s">
        <v>260</v>
      </c>
      <c r="I298" t="s">
        <v>789</v>
      </c>
      <c r="J298" s="26">
        <v>46091</v>
      </c>
      <c r="K298" s="26">
        <v>46098</v>
      </c>
      <c r="L298" t="s">
        <v>29</v>
      </c>
      <c r="M298" s="20"/>
      <c r="N298" s="20"/>
      <c r="O298" s="20"/>
      <c r="P298" s="20"/>
      <c r="Q298" s="24"/>
      <c r="R298" s="24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61" ht="14.45" hidden="1">
      <c r="B299" t="s">
        <v>827</v>
      </c>
      <c r="C299" t="s">
        <v>646</v>
      </c>
      <c r="D299" t="s">
        <v>647</v>
      </c>
      <c r="E299" t="s">
        <v>748</v>
      </c>
      <c r="F299" s="8" t="s">
        <v>828</v>
      </c>
      <c r="G299" t="s">
        <v>750</v>
      </c>
      <c r="I299" t="s">
        <v>676</v>
      </c>
      <c r="J299" s="26">
        <v>46091</v>
      </c>
      <c r="K299" s="26">
        <v>46098</v>
      </c>
      <c r="L299" t="s">
        <v>29</v>
      </c>
      <c r="M299" s="20"/>
      <c r="N299" s="20"/>
      <c r="O299" s="24"/>
      <c r="P299" s="24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61" ht="12.75" hidden="1" customHeight="1">
      <c r="B300" t="s">
        <v>829</v>
      </c>
      <c r="C300" t="s">
        <v>646</v>
      </c>
      <c r="D300" t="s">
        <v>647</v>
      </c>
      <c r="E300" t="s">
        <v>648</v>
      </c>
      <c r="F300" s="8" t="s">
        <v>830</v>
      </c>
      <c r="G300" t="s">
        <v>260</v>
      </c>
      <c r="I300" t="s">
        <v>789</v>
      </c>
      <c r="J300" s="26">
        <v>46098</v>
      </c>
      <c r="K300" s="26">
        <v>46108</v>
      </c>
      <c r="L300" t="s">
        <v>29</v>
      </c>
      <c r="M300" s="20"/>
      <c r="N300" s="20"/>
      <c r="O300" s="20"/>
      <c r="P300" s="20"/>
      <c r="Q300" s="20"/>
      <c r="R300" s="20"/>
      <c r="S300" s="20"/>
      <c r="T300" s="20"/>
      <c r="X300" s="20"/>
      <c r="Y300" s="20"/>
      <c r="Z300" s="20"/>
      <c r="AA300" s="20"/>
      <c r="AB300" s="20"/>
      <c r="AC300" s="20"/>
    </row>
    <row r="301" spans="1:61" ht="12.75" hidden="1" customHeight="1">
      <c r="B301" t="s">
        <v>831</v>
      </c>
      <c r="C301" t="s">
        <v>646</v>
      </c>
      <c r="D301" t="s">
        <v>647</v>
      </c>
      <c r="E301" t="s">
        <v>648</v>
      </c>
      <c r="F301" s="1" t="s">
        <v>832</v>
      </c>
      <c r="G301" t="s">
        <v>672</v>
      </c>
      <c r="I301" t="s">
        <v>833</v>
      </c>
      <c r="J301" s="26">
        <v>46119</v>
      </c>
      <c r="K301" s="26">
        <v>46125</v>
      </c>
      <c r="L301" t="s">
        <v>29</v>
      </c>
      <c r="M301" s="20"/>
      <c r="N301" s="20"/>
      <c r="O301" s="20"/>
      <c r="P301" s="20"/>
      <c r="Q301" s="20"/>
      <c r="R301" s="20"/>
      <c r="S301" s="20"/>
      <c r="T301" s="20"/>
      <c r="U301" s="25"/>
      <c r="V301" s="25"/>
      <c r="W301" s="25"/>
      <c r="X301" s="20"/>
      <c r="Y301" s="20"/>
      <c r="Z301" s="20"/>
      <c r="AA301" s="20"/>
      <c r="AB301" s="20"/>
      <c r="AC301" s="20"/>
    </row>
    <row r="302" spans="1:61" ht="14.45" hidden="1">
      <c r="B302" t="s">
        <v>834</v>
      </c>
      <c r="C302" t="s">
        <v>646</v>
      </c>
      <c r="D302" t="s">
        <v>647</v>
      </c>
      <c r="E302" t="s">
        <v>648</v>
      </c>
      <c r="F302" s="1" t="s">
        <v>835</v>
      </c>
      <c r="G302" t="s">
        <v>650</v>
      </c>
      <c r="I302" t="s">
        <v>276</v>
      </c>
      <c r="J302" s="26">
        <v>46125</v>
      </c>
      <c r="K302" s="26">
        <v>46129</v>
      </c>
      <c r="L302" t="s">
        <v>29</v>
      </c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5"/>
      <c r="Z302" s="25"/>
      <c r="AA302" s="25"/>
      <c r="AB302" s="20"/>
      <c r="AC302" s="20"/>
    </row>
    <row r="303" spans="1:61" ht="14.45" hidden="1">
      <c r="B303" t="s">
        <v>836</v>
      </c>
      <c r="C303" t="s">
        <v>646</v>
      </c>
      <c r="D303" t="s">
        <v>647</v>
      </c>
      <c r="E303" t="s">
        <v>648</v>
      </c>
      <c r="F303" s="1" t="s">
        <v>837</v>
      </c>
      <c r="G303" t="s">
        <v>672</v>
      </c>
      <c r="I303" t="s">
        <v>6</v>
      </c>
      <c r="J303" s="26">
        <v>46119</v>
      </c>
      <c r="K303" s="26">
        <v>46126</v>
      </c>
      <c r="L303" t="s">
        <v>29</v>
      </c>
      <c r="M303" s="25"/>
      <c r="N303" s="25"/>
      <c r="O303" s="25"/>
      <c r="P303" s="25"/>
      <c r="Q303" s="25"/>
      <c r="R303" s="25"/>
      <c r="S303" s="25"/>
      <c r="T303" s="25"/>
      <c r="U303" s="25"/>
      <c r="V303" s="20"/>
      <c r="W303" s="20"/>
      <c r="X303" s="20"/>
      <c r="Y303" s="20"/>
      <c r="Z303" s="20"/>
      <c r="AA303" s="20"/>
      <c r="AB303" s="20"/>
      <c r="AC303" s="20"/>
    </row>
    <row r="304" spans="1:61" ht="14.45" hidden="1">
      <c r="B304" t="s">
        <v>838</v>
      </c>
      <c r="C304" t="s">
        <v>646</v>
      </c>
      <c r="D304" t="s">
        <v>647</v>
      </c>
      <c r="E304" t="s">
        <v>648</v>
      </c>
      <c r="F304" s="1" t="s">
        <v>839</v>
      </c>
      <c r="G304" t="s">
        <v>260</v>
      </c>
      <c r="I304" t="s">
        <v>840</v>
      </c>
      <c r="J304" s="26">
        <v>46126</v>
      </c>
      <c r="K304" s="26">
        <v>46132</v>
      </c>
      <c r="L304" t="s">
        <v>29</v>
      </c>
      <c r="M304" s="24"/>
      <c r="N304" s="24"/>
      <c r="O304" s="24"/>
      <c r="P304" s="24"/>
      <c r="Q304" s="24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2:29" ht="14.45" hidden="1">
      <c r="B305" t="s">
        <v>841</v>
      </c>
      <c r="C305" t="s">
        <v>646</v>
      </c>
      <c r="D305" t="s">
        <v>647</v>
      </c>
      <c r="E305" t="s">
        <v>648</v>
      </c>
      <c r="F305" s="1" t="s">
        <v>842</v>
      </c>
      <c r="G305" t="s">
        <v>260</v>
      </c>
      <c r="I305" t="s">
        <v>722</v>
      </c>
      <c r="J305" s="26">
        <v>46126</v>
      </c>
      <c r="K305" s="26">
        <v>46132</v>
      </c>
      <c r="L305" t="s">
        <v>29</v>
      </c>
      <c r="M305" s="20"/>
      <c r="N305" s="20"/>
      <c r="O305" s="20"/>
      <c r="P305" s="24"/>
      <c r="Q305" s="24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2:29" ht="14.45" hidden="1">
      <c r="B306" t="s">
        <v>843</v>
      </c>
      <c r="C306" t="s">
        <v>646</v>
      </c>
      <c r="D306" t="s">
        <v>647</v>
      </c>
      <c r="E306" t="s">
        <v>648</v>
      </c>
      <c r="F306" s="1" t="s">
        <v>844</v>
      </c>
      <c r="G306" t="s">
        <v>650</v>
      </c>
      <c r="I306" t="s">
        <v>722</v>
      </c>
      <c r="J306" s="26">
        <v>46126</v>
      </c>
      <c r="K306" s="26">
        <v>46132</v>
      </c>
      <c r="L306" t="s">
        <v>29</v>
      </c>
      <c r="M306" s="20"/>
      <c r="N306" s="20"/>
      <c r="O306" s="20"/>
      <c r="P306" s="24"/>
      <c r="Q306" s="24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2:29" ht="14.45">
      <c r="B307" s="111" t="s">
        <v>845</v>
      </c>
      <c r="C307" s="111" t="s">
        <v>646</v>
      </c>
      <c r="D307" s="111" t="s">
        <v>647</v>
      </c>
      <c r="E307" s="111" t="s">
        <v>648</v>
      </c>
      <c r="F307" s="102" t="s">
        <v>846</v>
      </c>
      <c r="G307" s="111"/>
      <c r="H307" s="111"/>
      <c r="I307" s="111"/>
      <c r="J307" s="112">
        <v>46143</v>
      </c>
      <c r="K307" s="112">
        <v>46167</v>
      </c>
      <c r="L307" s="111" t="s">
        <v>106</v>
      </c>
      <c r="M307" s="20"/>
      <c r="N307" s="20"/>
      <c r="O307" s="20"/>
      <c r="P307" s="24"/>
      <c r="Q307" s="24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2:29" ht="14.45" hidden="1">
      <c r="B308" t="s">
        <v>847</v>
      </c>
      <c r="C308" t="s">
        <v>646</v>
      </c>
      <c r="D308" t="s">
        <v>647</v>
      </c>
      <c r="E308" t="s">
        <v>648</v>
      </c>
      <c r="F308" s="1" t="s">
        <v>848</v>
      </c>
      <c r="J308" s="26">
        <v>46133</v>
      </c>
      <c r="K308" s="26">
        <v>46139</v>
      </c>
      <c r="L308" t="s">
        <v>29</v>
      </c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2:29" ht="14.45" hidden="1">
      <c r="B309" t="s">
        <v>849</v>
      </c>
      <c r="C309" t="s">
        <v>646</v>
      </c>
      <c r="D309" t="s">
        <v>647</v>
      </c>
      <c r="E309" t="s">
        <v>648</v>
      </c>
      <c r="F309" s="1" t="s">
        <v>850</v>
      </c>
      <c r="G309" t="s">
        <v>650</v>
      </c>
      <c r="I309" t="s">
        <v>722</v>
      </c>
      <c r="J309" s="26">
        <v>46140</v>
      </c>
      <c r="K309" s="26">
        <v>46146</v>
      </c>
      <c r="L309" t="s">
        <v>29</v>
      </c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2:29" ht="15" hidden="1" customHeight="1">
      <c r="B310" t="s">
        <v>851</v>
      </c>
      <c r="C310" t="s">
        <v>646</v>
      </c>
      <c r="D310" t="s">
        <v>647</v>
      </c>
      <c r="E310" t="s">
        <v>648</v>
      </c>
      <c r="F310" s="1" t="s">
        <v>852</v>
      </c>
      <c r="G310" t="s">
        <v>650</v>
      </c>
      <c r="I310" t="s">
        <v>276</v>
      </c>
      <c r="J310" s="26">
        <v>46140</v>
      </c>
      <c r="K310" s="26">
        <v>46146</v>
      </c>
      <c r="L310" t="s">
        <v>29</v>
      </c>
      <c r="M310" s="20"/>
      <c r="N310" s="20"/>
      <c r="O310" s="20"/>
      <c r="P310" s="20"/>
      <c r="Q310" s="24"/>
      <c r="R310" s="24"/>
      <c r="S310" s="24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2:29" ht="14.45" hidden="1">
      <c r="B311" t="s">
        <v>853</v>
      </c>
      <c r="C311" t="s">
        <v>646</v>
      </c>
      <c r="D311" t="s">
        <v>647</v>
      </c>
      <c r="E311" t="s">
        <v>648</v>
      </c>
      <c r="F311" s="124" t="s">
        <v>854</v>
      </c>
      <c r="G311" t="s">
        <v>260</v>
      </c>
      <c r="I311" t="s">
        <v>789</v>
      </c>
      <c r="J311" s="26">
        <v>46147</v>
      </c>
      <c r="K311" s="26">
        <v>46153</v>
      </c>
      <c r="L311" t="s">
        <v>29</v>
      </c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2:29" ht="14.45" hidden="1">
      <c r="B312" t="s">
        <v>855</v>
      </c>
      <c r="C312" t="s">
        <v>646</v>
      </c>
      <c r="D312" t="s">
        <v>647</v>
      </c>
      <c r="E312" t="s">
        <v>648</v>
      </c>
      <c r="F312" s="1" t="s">
        <v>856</v>
      </c>
      <c r="G312" t="s">
        <v>260</v>
      </c>
      <c r="I312" t="s">
        <v>722</v>
      </c>
      <c r="J312" s="26">
        <v>46147</v>
      </c>
      <c r="K312" s="26">
        <v>46153</v>
      </c>
      <c r="L312" t="s">
        <v>29</v>
      </c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2:29" ht="29.25" hidden="1" customHeight="1">
      <c r="B313" t="s">
        <v>857</v>
      </c>
      <c r="C313" t="s">
        <v>646</v>
      </c>
      <c r="D313" t="s">
        <v>647</v>
      </c>
      <c r="E313" t="s">
        <v>648</v>
      </c>
      <c r="F313" s="1" t="s">
        <v>858</v>
      </c>
      <c r="G313" t="s">
        <v>650</v>
      </c>
      <c r="I313" t="s">
        <v>276</v>
      </c>
      <c r="J313" s="26">
        <v>46147</v>
      </c>
      <c r="K313" s="26">
        <v>46153</v>
      </c>
      <c r="L313" t="s">
        <v>29</v>
      </c>
      <c r="M313" s="28"/>
      <c r="N313" s="28"/>
      <c r="O313" s="28"/>
      <c r="P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2:29" ht="14.45">
      <c r="B314" s="111" t="s">
        <v>859</v>
      </c>
      <c r="C314" s="111" t="s">
        <v>646</v>
      </c>
      <c r="D314" s="111" t="s">
        <v>647</v>
      </c>
      <c r="E314" s="111" t="s">
        <v>648</v>
      </c>
      <c r="F314" s="102" t="s">
        <v>860</v>
      </c>
      <c r="G314" s="111" t="s">
        <v>672</v>
      </c>
      <c r="H314" s="111"/>
      <c r="I314" s="111" t="s">
        <v>276</v>
      </c>
      <c r="J314" s="112">
        <v>46147</v>
      </c>
      <c r="K314" s="112">
        <v>46153</v>
      </c>
      <c r="L314" s="111" t="s">
        <v>106</v>
      </c>
      <c r="M314" s="20"/>
      <c r="N314" s="20"/>
      <c r="O314" s="20"/>
      <c r="P314" s="20"/>
      <c r="Q314" s="20"/>
      <c r="R314" s="20"/>
      <c r="S314" s="24"/>
      <c r="T314" s="24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2:29" ht="14.45" hidden="1">
      <c r="B315" t="s">
        <v>861</v>
      </c>
      <c r="C315" t="s">
        <v>646</v>
      </c>
      <c r="D315" t="s">
        <v>647</v>
      </c>
      <c r="E315" t="s">
        <v>648</v>
      </c>
      <c r="F315" s="1" t="s">
        <v>862</v>
      </c>
      <c r="G315" t="s">
        <v>260</v>
      </c>
      <c r="I315" t="s">
        <v>276</v>
      </c>
      <c r="J315" s="26">
        <v>46147</v>
      </c>
      <c r="K315" s="26">
        <v>46153</v>
      </c>
      <c r="L315" t="s">
        <v>29</v>
      </c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2:29" ht="14.45" hidden="1">
      <c r="B316" t="s">
        <v>863</v>
      </c>
      <c r="C316" t="s">
        <v>646</v>
      </c>
      <c r="D316" t="s">
        <v>647</v>
      </c>
      <c r="E316" t="s">
        <v>648</v>
      </c>
      <c r="F316" s="1" t="s">
        <v>864</v>
      </c>
      <c r="G316" t="s">
        <v>672</v>
      </c>
      <c r="I316" t="s">
        <v>865</v>
      </c>
      <c r="J316" s="26">
        <v>46147</v>
      </c>
      <c r="K316" s="26">
        <v>46153</v>
      </c>
      <c r="L316" t="s">
        <v>29</v>
      </c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2:29" s="111" customFormat="1" ht="14.45">
      <c r="B317" s="111" t="s">
        <v>866</v>
      </c>
      <c r="C317" s="111" t="s">
        <v>646</v>
      </c>
      <c r="D317" s="111" t="s">
        <v>647</v>
      </c>
      <c r="E317" s="111" t="s">
        <v>648</v>
      </c>
      <c r="F317" s="102" t="s">
        <v>867</v>
      </c>
      <c r="G317" s="111" t="s">
        <v>260</v>
      </c>
      <c r="I317" s="111" t="s">
        <v>868</v>
      </c>
      <c r="J317" s="112">
        <v>46147</v>
      </c>
      <c r="K317" s="112">
        <v>46153</v>
      </c>
      <c r="L317" s="111" t="s">
        <v>106</v>
      </c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</row>
    <row r="318" spans="2:29" s="111" customFormat="1" ht="14.45">
      <c r="B318" s="111" t="s">
        <v>869</v>
      </c>
      <c r="C318" s="111" t="s">
        <v>646</v>
      </c>
      <c r="D318" s="111" t="s">
        <v>647</v>
      </c>
      <c r="E318" s="111" t="s">
        <v>648</v>
      </c>
      <c r="F318" s="102" t="s">
        <v>870</v>
      </c>
      <c r="G318" s="111" t="s">
        <v>260</v>
      </c>
      <c r="I318" s="111" t="s">
        <v>809</v>
      </c>
      <c r="J318" s="112">
        <v>46147</v>
      </c>
      <c r="K318" s="112">
        <v>46153</v>
      </c>
      <c r="L318" s="111" t="s">
        <v>106</v>
      </c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</row>
    <row r="319" spans="2:29" ht="14.45" hidden="1">
      <c r="B319" t="s">
        <v>871</v>
      </c>
      <c r="C319" t="s">
        <v>646</v>
      </c>
      <c r="D319" t="s">
        <v>872</v>
      </c>
      <c r="E319" t="s">
        <v>84</v>
      </c>
      <c r="F319" s="1" t="s">
        <v>873</v>
      </c>
      <c r="G319" t="s">
        <v>874</v>
      </c>
      <c r="H319" t="s">
        <v>875</v>
      </c>
      <c r="I319" t="s">
        <v>876</v>
      </c>
      <c r="J319" s="14"/>
      <c r="K319" s="14"/>
      <c r="L319" t="s">
        <v>29</v>
      </c>
      <c r="M319" s="20"/>
      <c r="N319" s="20"/>
      <c r="O319" s="20"/>
      <c r="P319" s="20"/>
      <c r="Q319" s="20"/>
      <c r="R319" s="20"/>
      <c r="S319" s="25"/>
      <c r="T319" s="25"/>
      <c r="U319" s="25"/>
      <c r="V319" s="25"/>
      <c r="W319" s="20"/>
      <c r="X319" s="20"/>
      <c r="Y319" s="20"/>
      <c r="Z319" s="20"/>
      <c r="AA319" s="20"/>
      <c r="AB319" s="20"/>
      <c r="AC319" s="20"/>
    </row>
    <row r="320" spans="2:29" ht="14.45" hidden="1">
      <c r="B320" t="s">
        <v>877</v>
      </c>
      <c r="C320" t="s">
        <v>646</v>
      </c>
      <c r="D320" t="s">
        <v>872</v>
      </c>
      <c r="E320" t="s">
        <v>84</v>
      </c>
      <c r="F320" s="1" t="s">
        <v>878</v>
      </c>
      <c r="G320" t="s">
        <v>879</v>
      </c>
      <c r="H320" t="s">
        <v>880</v>
      </c>
      <c r="I320" t="s">
        <v>881</v>
      </c>
      <c r="J320" s="14"/>
      <c r="K320" s="14"/>
      <c r="L320" t="s">
        <v>29</v>
      </c>
      <c r="M320" s="20"/>
      <c r="N320" s="20"/>
      <c r="O320" s="20"/>
      <c r="P320" s="20"/>
      <c r="Q320" s="20"/>
      <c r="R320" s="20"/>
      <c r="S320" s="24"/>
      <c r="T320" s="24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2:29" ht="14.45" hidden="1">
      <c r="B321" t="s">
        <v>882</v>
      </c>
      <c r="C321" t="s">
        <v>646</v>
      </c>
      <c r="D321" t="s">
        <v>872</v>
      </c>
      <c r="E321" t="s">
        <v>84</v>
      </c>
      <c r="F321" s="1" t="s">
        <v>883</v>
      </c>
      <c r="G321" t="s">
        <v>874</v>
      </c>
      <c r="H321" t="s">
        <v>884</v>
      </c>
      <c r="I321" t="s">
        <v>876</v>
      </c>
      <c r="J321" s="26">
        <v>46076</v>
      </c>
      <c r="K321" s="30">
        <v>46111</v>
      </c>
      <c r="L321" t="s">
        <v>29</v>
      </c>
      <c r="M321" s="20"/>
      <c r="N321" s="20"/>
      <c r="O321" s="20"/>
      <c r="P321" s="20"/>
      <c r="Q321" s="20"/>
      <c r="R321" s="20"/>
      <c r="S321" s="24"/>
      <c r="T321" s="24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2:29" ht="14.45" hidden="1">
      <c r="B322" t="s">
        <v>885</v>
      </c>
      <c r="C322" t="s">
        <v>646</v>
      </c>
      <c r="D322" t="s">
        <v>872</v>
      </c>
      <c r="E322" t="s">
        <v>84</v>
      </c>
      <c r="F322" s="1" t="s">
        <v>886</v>
      </c>
      <c r="G322" t="s">
        <v>874</v>
      </c>
      <c r="H322" t="s">
        <v>875</v>
      </c>
      <c r="I322" t="s">
        <v>881</v>
      </c>
      <c r="J322" s="14"/>
      <c r="K322" s="14"/>
      <c r="L322" t="s">
        <v>29</v>
      </c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2:29" ht="14.45" hidden="1">
      <c r="B323" s="7" t="s">
        <v>887</v>
      </c>
      <c r="C323" s="7" t="s">
        <v>646</v>
      </c>
      <c r="D323" s="7" t="s">
        <v>872</v>
      </c>
      <c r="E323" t="s">
        <v>888</v>
      </c>
      <c r="F323" s="1" t="s">
        <v>889</v>
      </c>
      <c r="G323" s="7" t="s">
        <v>598</v>
      </c>
      <c r="H323" s="7" t="s">
        <v>598</v>
      </c>
      <c r="I323" t="s">
        <v>890</v>
      </c>
      <c r="J323" s="14"/>
      <c r="K323" s="14"/>
      <c r="L323" t="s">
        <v>29</v>
      </c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2:29" ht="14.45" hidden="1">
      <c r="B324" t="s">
        <v>891</v>
      </c>
      <c r="C324" t="s">
        <v>646</v>
      </c>
      <c r="D324" t="s">
        <v>872</v>
      </c>
      <c r="E324" t="s">
        <v>888</v>
      </c>
      <c r="F324" s="1" t="s">
        <v>892</v>
      </c>
      <c r="G324" t="s">
        <v>893</v>
      </c>
      <c r="H324" t="s">
        <v>893</v>
      </c>
      <c r="I324" t="s">
        <v>890</v>
      </c>
      <c r="J324" s="26">
        <v>46076</v>
      </c>
      <c r="K324" s="26">
        <v>46119</v>
      </c>
      <c r="L324" t="s">
        <v>29</v>
      </c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2:29" ht="29.1" hidden="1">
      <c r="B325" t="s">
        <v>894</v>
      </c>
      <c r="C325" t="s">
        <v>646</v>
      </c>
      <c r="D325" t="s">
        <v>872</v>
      </c>
      <c r="E325" t="s">
        <v>84</v>
      </c>
      <c r="F325" s="1" t="s">
        <v>895</v>
      </c>
      <c r="G325" t="s">
        <v>874</v>
      </c>
      <c r="H325" s="2" t="s">
        <v>896</v>
      </c>
      <c r="I325" t="s">
        <v>881</v>
      </c>
      <c r="J325" s="14"/>
      <c r="K325" s="14"/>
      <c r="L325" t="s">
        <v>29</v>
      </c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2:29" ht="14.45" hidden="1">
      <c r="B326" t="s">
        <v>897</v>
      </c>
      <c r="C326" t="s">
        <v>646</v>
      </c>
      <c r="D326" t="s">
        <v>872</v>
      </c>
      <c r="E326" t="s">
        <v>888</v>
      </c>
      <c r="F326" s="1" t="s">
        <v>898</v>
      </c>
      <c r="G326" t="s">
        <v>874</v>
      </c>
      <c r="H326" t="s">
        <v>874</v>
      </c>
      <c r="I326" t="s">
        <v>899</v>
      </c>
      <c r="J326" s="26">
        <v>46112</v>
      </c>
      <c r="K326" s="26">
        <v>46126</v>
      </c>
      <c r="L326" t="s">
        <v>29</v>
      </c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2:29" ht="29.1" hidden="1">
      <c r="B327" t="s">
        <v>900</v>
      </c>
      <c r="C327" t="s">
        <v>646</v>
      </c>
      <c r="D327" t="s">
        <v>872</v>
      </c>
      <c r="E327" t="s">
        <v>84</v>
      </c>
      <c r="F327" s="1" t="s">
        <v>901</v>
      </c>
      <c r="G327" t="s">
        <v>874</v>
      </c>
      <c r="H327" s="2" t="s">
        <v>896</v>
      </c>
      <c r="I327" t="s">
        <v>876</v>
      </c>
      <c r="J327" s="14"/>
      <c r="K327" s="14"/>
      <c r="L327" t="s">
        <v>29</v>
      </c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2:29" ht="14.45" hidden="1">
      <c r="B328" t="s">
        <v>902</v>
      </c>
      <c r="C328" t="s">
        <v>646</v>
      </c>
      <c r="D328" t="s">
        <v>872</v>
      </c>
      <c r="E328" t="s">
        <v>888</v>
      </c>
      <c r="F328" s="16" t="s">
        <v>903</v>
      </c>
      <c r="G328" t="s">
        <v>598</v>
      </c>
      <c r="H328" s="59" t="s">
        <v>598</v>
      </c>
      <c r="I328" t="s">
        <v>904</v>
      </c>
      <c r="J328" s="26">
        <v>46112</v>
      </c>
      <c r="K328" s="26">
        <v>46126</v>
      </c>
      <c r="L328" t="s">
        <v>29</v>
      </c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2:29" ht="25.5" hidden="1" customHeight="1">
      <c r="B329" t="s">
        <v>905</v>
      </c>
      <c r="C329" t="s">
        <v>646</v>
      </c>
      <c r="D329" t="s">
        <v>872</v>
      </c>
      <c r="E329" t="s">
        <v>84</v>
      </c>
      <c r="F329" s="16" t="s">
        <v>906</v>
      </c>
      <c r="G329" t="s">
        <v>907</v>
      </c>
      <c r="H329" s="64" t="s">
        <v>908</v>
      </c>
      <c r="I329" t="s">
        <v>881</v>
      </c>
      <c r="J329" s="14"/>
      <c r="K329" s="14"/>
      <c r="L329" t="s">
        <v>29</v>
      </c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2:29" s="111" customFormat="1" ht="38.25" hidden="1" customHeight="1">
      <c r="B330" t="s">
        <v>909</v>
      </c>
      <c r="C330" t="s">
        <v>646</v>
      </c>
      <c r="D330" t="s">
        <v>872</v>
      </c>
      <c r="E330" t="s">
        <v>888</v>
      </c>
      <c r="F330" s="1" t="s">
        <v>910</v>
      </c>
      <c r="G330" t="s">
        <v>598</v>
      </c>
      <c r="H330" t="s">
        <v>598</v>
      </c>
      <c r="I330" t="s">
        <v>890</v>
      </c>
      <c r="J330" s="14"/>
      <c r="K330" s="14"/>
      <c r="L330" t="s">
        <v>29</v>
      </c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</row>
    <row r="331" spans="2:29" ht="30" hidden="1" customHeight="1">
      <c r="B331" t="s">
        <v>911</v>
      </c>
      <c r="C331" t="s">
        <v>646</v>
      </c>
      <c r="D331" t="s">
        <v>872</v>
      </c>
      <c r="E331" t="s">
        <v>888</v>
      </c>
      <c r="F331" s="15" t="s">
        <v>912</v>
      </c>
      <c r="G331" t="s">
        <v>893</v>
      </c>
      <c r="H331" s="45" t="s">
        <v>893</v>
      </c>
      <c r="I331" t="s">
        <v>890</v>
      </c>
      <c r="J331" s="14"/>
      <c r="K331" s="14"/>
      <c r="L331" t="s">
        <v>29</v>
      </c>
      <c r="M331" s="24"/>
      <c r="N331" s="24"/>
      <c r="O331" s="48"/>
      <c r="P331" s="48"/>
      <c r="Q331" s="48"/>
      <c r="R331" s="48"/>
      <c r="S331" s="48"/>
      <c r="T331" s="48"/>
      <c r="U331" s="34"/>
      <c r="V331" s="34"/>
      <c r="W331" s="34"/>
      <c r="X331" s="34"/>
      <c r="Y331" s="34"/>
      <c r="Z331" s="34"/>
      <c r="AA331" s="34"/>
      <c r="AB331" s="20"/>
      <c r="AC331" s="20"/>
    </row>
    <row r="332" spans="2:29" ht="15" hidden="1" customHeight="1">
      <c r="B332" t="s">
        <v>913</v>
      </c>
      <c r="C332" t="s">
        <v>646</v>
      </c>
      <c r="D332" t="s">
        <v>872</v>
      </c>
      <c r="E332" t="s">
        <v>84</v>
      </c>
      <c r="F332" s="1" t="s">
        <v>914</v>
      </c>
      <c r="G332" t="s">
        <v>874</v>
      </c>
      <c r="H332" t="s">
        <v>915</v>
      </c>
      <c r="I332" t="s">
        <v>876</v>
      </c>
      <c r="J332" s="14"/>
      <c r="K332" s="14"/>
      <c r="L332" t="s">
        <v>29</v>
      </c>
      <c r="M332" s="20"/>
      <c r="N332" s="31"/>
      <c r="O332" s="28"/>
      <c r="P332" s="28"/>
      <c r="Q332" s="28"/>
      <c r="R332" s="28"/>
      <c r="S332" s="25"/>
      <c r="T332" s="25"/>
      <c r="U332" s="28"/>
      <c r="V332" s="28"/>
      <c r="W332" s="28"/>
      <c r="X332" s="28"/>
      <c r="Y332" s="28"/>
      <c r="Z332" s="28"/>
      <c r="AA332" s="28"/>
      <c r="AB332" s="36"/>
      <c r="AC332" s="20"/>
    </row>
    <row r="333" spans="2:29" s="111" customFormat="1" ht="15" hidden="1" customHeight="1">
      <c r="B333" t="s">
        <v>916</v>
      </c>
      <c r="C333" t="s">
        <v>646</v>
      </c>
      <c r="D333" t="s">
        <v>872</v>
      </c>
      <c r="E333" t="s">
        <v>917</v>
      </c>
      <c r="F333" s="1" t="s">
        <v>918</v>
      </c>
      <c r="G333" t="s">
        <v>113</v>
      </c>
      <c r="H333" t="s">
        <v>919</v>
      </c>
      <c r="I333" t="s">
        <v>920</v>
      </c>
      <c r="J333" s="26">
        <v>46098</v>
      </c>
      <c r="K333" s="26">
        <v>46119</v>
      </c>
      <c r="L333" t="s">
        <v>29</v>
      </c>
      <c r="M333" s="114"/>
      <c r="N333" s="115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6"/>
      <c r="AC333" s="114"/>
    </row>
    <row r="334" spans="2:29" ht="27.75" hidden="1" customHeight="1">
      <c r="B334" t="s">
        <v>921</v>
      </c>
      <c r="C334" t="s">
        <v>646</v>
      </c>
      <c r="D334" t="s">
        <v>872</v>
      </c>
      <c r="E334" t="s">
        <v>84</v>
      </c>
      <c r="F334" s="1" t="s">
        <v>922</v>
      </c>
      <c r="G334" t="s">
        <v>874</v>
      </c>
      <c r="H334" t="s">
        <v>915</v>
      </c>
      <c r="I334" t="s">
        <v>881</v>
      </c>
      <c r="J334" s="14"/>
      <c r="K334" s="14"/>
      <c r="L334" t="s">
        <v>29</v>
      </c>
      <c r="M334" s="20"/>
      <c r="N334" s="31"/>
      <c r="O334" s="20"/>
      <c r="P334" s="20"/>
      <c r="Q334" s="20"/>
      <c r="R334" s="20"/>
      <c r="S334" s="52"/>
      <c r="T334" s="52"/>
      <c r="U334" s="52"/>
      <c r="V334" s="52"/>
      <c r="W334" s="52"/>
      <c r="X334" s="52"/>
      <c r="Y334" s="20"/>
      <c r="Z334" s="20"/>
      <c r="AA334" s="20"/>
      <c r="AB334" s="32"/>
      <c r="AC334" s="20"/>
    </row>
    <row r="335" spans="2:29" ht="15" hidden="1" customHeight="1">
      <c r="B335" s="44" t="s">
        <v>923</v>
      </c>
      <c r="C335" s="45" t="s">
        <v>646</v>
      </c>
      <c r="D335" s="45" t="s">
        <v>872</v>
      </c>
      <c r="E335" s="45" t="s">
        <v>84</v>
      </c>
      <c r="F335" s="15" t="s">
        <v>924</v>
      </c>
      <c r="G335" s="45" t="s">
        <v>925</v>
      </c>
      <c r="H335" s="120" t="s">
        <v>926</v>
      </c>
      <c r="I335" s="45" t="s">
        <v>876</v>
      </c>
      <c r="J335" s="27">
        <v>46084</v>
      </c>
      <c r="K335" s="27">
        <v>46119</v>
      </c>
      <c r="L335" s="46" t="s">
        <v>29</v>
      </c>
      <c r="M335" s="20"/>
      <c r="N335" s="31"/>
      <c r="O335" s="20"/>
      <c r="P335" s="20"/>
      <c r="Q335" s="20"/>
      <c r="R335" s="20"/>
      <c r="S335" s="20"/>
      <c r="T335" s="20"/>
      <c r="U335" s="20"/>
      <c r="V335" s="20"/>
      <c r="W335" s="52"/>
      <c r="X335" s="52"/>
      <c r="Y335" s="20"/>
      <c r="Z335" s="20"/>
      <c r="AA335" s="20"/>
      <c r="AB335" s="32"/>
      <c r="AC335" s="20"/>
    </row>
    <row r="336" spans="2:29" ht="15" hidden="1" customHeight="1">
      <c r="B336" s="58" t="s">
        <v>927</v>
      </c>
      <c r="C336" s="59" t="s">
        <v>646</v>
      </c>
      <c r="D336" s="59" t="s">
        <v>872</v>
      </c>
      <c r="E336" s="59" t="s">
        <v>917</v>
      </c>
      <c r="F336" s="16" t="s">
        <v>928</v>
      </c>
      <c r="G336" s="59" t="s">
        <v>113</v>
      </c>
      <c r="H336" s="59" t="s">
        <v>929</v>
      </c>
      <c r="I336" s="59" t="s">
        <v>876</v>
      </c>
      <c r="J336" s="14"/>
      <c r="K336" s="14"/>
      <c r="L336" s="60" t="s">
        <v>29</v>
      </c>
      <c r="M336" s="20"/>
      <c r="N336" s="20"/>
      <c r="O336" s="20"/>
      <c r="P336" s="20"/>
      <c r="Q336" s="20"/>
      <c r="R336" s="20"/>
      <c r="S336" s="24"/>
      <c r="T336" s="24"/>
      <c r="U336" s="20"/>
      <c r="V336" s="20"/>
      <c r="W336" s="20"/>
      <c r="X336" s="28"/>
      <c r="Y336" s="20"/>
      <c r="Z336" s="20"/>
      <c r="AA336" s="20"/>
      <c r="AB336" s="20"/>
      <c r="AC336" s="20"/>
    </row>
    <row r="337" spans="2:29" ht="15" hidden="1" customHeight="1">
      <c r="B337" s="58" t="s">
        <v>930</v>
      </c>
      <c r="C337" s="59" t="s">
        <v>646</v>
      </c>
      <c r="D337" s="59" t="s">
        <v>872</v>
      </c>
      <c r="E337" s="59" t="s">
        <v>84</v>
      </c>
      <c r="F337" s="1" t="s">
        <v>931</v>
      </c>
      <c r="G337" t="s">
        <v>874</v>
      </c>
      <c r="H337" s="59" t="s">
        <v>932</v>
      </c>
      <c r="I337" t="s">
        <v>933</v>
      </c>
      <c r="J337" s="26">
        <v>46084</v>
      </c>
      <c r="K337" s="26">
        <v>46119</v>
      </c>
      <c r="L337" s="60" t="s">
        <v>29</v>
      </c>
      <c r="M337" s="20"/>
      <c r="N337" s="20"/>
      <c r="O337" s="20"/>
      <c r="P337" s="20"/>
      <c r="Q337" s="20"/>
      <c r="R337" s="20"/>
      <c r="S337" s="24"/>
      <c r="T337" s="24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2:29" ht="15" hidden="1" customHeight="1">
      <c r="B338" s="58" t="s">
        <v>934</v>
      </c>
      <c r="C338" s="59" t="s">
        <v>646</v>
      </c>
      <c r="D338" s="59" t="s">
        <v>872</v>
      </c>
      <c r="E338" t="s">
        <v>917</v>
      </c>
      <c r="F338" s="1" t="s">
        <v>935</v>
      </c>
      <c r="G338" t="s">
        <v>113</v>
      </c>
      <c r="H338" t="s">
        <v>936</v>
      </c>
      <c r="I338" t="s">
        <v>881</v>
      </c>
      <c r="J338" s="14"/>
      <c r="K338" s="14"/>
      <c r="L338" t="s">
        <v>29</v>
      </c>
      <c r="M338" s="20"/>
      <c r="N338" s="20"/>
      <c r="O338" s="20"/>
      <c r="P338" s="20"/>
      <c r="Q338" s="20"/>
      <c r="R338" s="20"/>
      <c r="S338" s="24"/>
      <c r="T338" s="24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2:29" ht="15" hidden="1" customHeight="1">
      <c r="B339" s="58" t="s">
        <v>937</v>
      </c>
      <c r="C339" s="59" t="s">
        <v>646</v>
      </c>
      <c r="D339" s="59" t="s">
        <v>872</v>
      </c>
      <c r="E339" t="s">
        <v>917</v>
      </c>
      <c r="F339" s="1" t="s">
        <v>938</v>
      </c>
      <c r="G339" t="s">
        <v>113</v>
      </c>
      <c r="H339" t="s">
        <v>929</v>
      </c>
      <c r="I339" t="s">
        <v>876</v>
      </c>
      <c r="J339" s="14"/>
      <c r="K339" s="14"/>
      <c r="L339" t="s">
        <v>29</v>
      </c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2:29" ht="15" hidden="1" customHeight="1">
      <c r="B340" s="58" t="s">
        <v>939</v>
      </c>
      <c r="C340" s="59" t="s">
        <v>646</v>
      </c>
      <c r="D340" s="59" t="s">
        <v>872</v>
      </c>
      <c r="E340" t="s">
        <v>84</v>
      </c>
      <c r="F340" s="1" t="s">
        <v>940</v>
      </c>
      <c r="G340" t="s">
        <v>874</v>
      </c>
      <c r="H340" s="2" t="s">
        <v>941</v>
      </c>
      <c r="I340" t="s">
        <v>876</v>
      </c>
      <c r="J340" s="26">
        <v>46098</v>
      </c>
      <c r="K340" s="26">
        <v>46104</v>
      </c>
      <c r="L340" t="s">
        <v>29</v>
      </c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2:29" ht="15" hidden="1" customHeight="1">
      <c r="B341" s="58" t="s">
        <v>942</v>
      </c>
      <c r="C341" s="59" t="s">
        <v>646</v>
      </c>
      <c r="D341" s="59" t="s">
        <v>872</v>
      </c>
      <c r="E341" t="s">
        <v>943</v>
      </c>
      <c r="F341" s="1" t="s">
        <v>944</v>
      </c>
      <c r="G341" t="s">
        <v>945</v>
      </c>
      <c r="H341" s="2" t="s">
        <v>896</v>
      </c>
      <c r="I341" t="s">
        <v>904</v>
      </c>
      <c r="J341" s="26">
        <v>46098</v>
      </c>
      <c r="K341" s="26">
        <v>46100</v>
      </c>
      <c r="L341" t="s">
        <v>29</v>
      </c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2:29" ht="15" hidden="1" customHeight="1">
      <c r="B342" s="58" t="s">
        <v>946</v>
      </c>
      <c r="C342" s="59" t="s">
        <v>646</v>
      </c>
      <c r="D342" s="59" t="s">
        <v>872</v>
      </c>
      <c r="E342" t="s">
        <v>84</v>
      </c>
      <c r="F342" s="1" t="s">
        <v>947</v>
      </c>
      <c r="G342" t="s">
        <v>874</v>
      </c>
      <c r="I342" t="s">
        <v>876</v>
      </c>
      <c r="J342" s="26">
        <v>46098</v>
      </c>
      <c r="K342" s="26">
        <v>46104</v>
      </c>
      <c r="L342" t="s">
        <v>29</v>
      </c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2:29" ht="15" hidden="1" customHeight="1">
      <c r="B343" s="58" t="s">
        <v>948</v>
      </c>
      <c r="C343" s="59" t="s">
        <v>646</v>
      </c>
      <c r="D343" s="59" t="s">
        <v>872</v>
      </c>
      <c r="E343" t="s">
        <v>917</v>
      </c>
      <c r="F343" s="1" t="s">
        <v>949</v>
      </c>
      <c r="G343" t="s">
        <v>113</v>
      </c>
      <c r="I343" t="s">
        <v>151</v>
      </c>
      <c r="J343" s="26">
        <v>46098</v>
      </c>
      <c r="K343" s="26">
        <v>46100</v>
      </c>
      <c r="L343" t="s">
        <v>29</v>
      </c>
    </row>
    <row r="344" spans="2:29" ht="15" hidden="1" customHeight="1">
      <c r="B344" s="58" t="s">
        <v>950</v>
      </c>
      <c r="C344" s="59" t="s">
        <v>646</v>
      </c>
      <c r="D344" s="59" t="s">
        <v>872</v>
      </c>
      <c r="E344" t="s">
        <v>888</v>
      </c>
      <c r="F344" s="1" t="s">
        <v>951</v>
      </c>
      <c r="G344" t="s">
        <v>439</v>
      </c>
      <c r="I344" t="s">
        <v>920</v>
      </c>
      <c r="J344" s="26">
        <v>46098</v>
      </c>
      <c r="K344" s="26">
        <v>46104</v>
      </c>
      <c r="L344" t="s">
        <v>29</v>
      </c>
    </row>
    <row r="345" spans="2:29" ht="15" hidden="1" customHeight="1">
      <c r="B345" s="58" t="s">
        <v>952</v>
      </c>
      <c r="C345" s="59" t="s">
        <v>646</v>
      </c>
      <c r="D345" s="59" t="s">
        <v>872</v>
      </c>
      <c r="E345" t="s">
        <v>888</v>
      </c>
      <c r="F345" s="67" t="s">
        <v>953</v>
      </c>
      <c r="G345" t="s">
        <v>954</v>
      </c>
      <c r="H345" t="s">
        <v>920</v>
      </c>
      <c r="I345" t="s">
        <v>920</v>
      </c>
      <c r="J345" s="26">
        <v>46098</v>
      </c>
      <c r="K345" s="26">
        <v>46104</v>
      </c>
      <c r="L345" t="s">
        <v>29</v>
      </c>
    </row>
    <row r="346" spans="2:29" ht="15" hidden="1" customHeight="1">
      <c r="B346" s="58" t="s">
        <v>955</v>
      </c>
      <c r="C346" s="59" t="s">
        <v>646</v>
      </c>
      <c r="D346" s="59" t="s">
        <v>872</v>
      </c>
      <c r="E346" t="s">
        <v>943</v>
      </c>
      <c r="F346" s="1" t="s">
        <v>956</v>
      </c>
      <c r="G346" t="s">
        <v>945</v>
      </c>
      <c r="I346" t="s">
        <v>904</v>
      </c>
      <c r="J346" s="26">
        <v>46098</v>
      </c>
      <c r="K346" s="26">
        <v>46104</v>
      </c>
      <c r="L346" t="s">
        <v>29</v>
      </c>
    </row>
    <row r="347" spans="2:29" ht="15" hidden="1" customHeight="1">
      <c r="B347" s="58" t="s">
        <v>957</v>
      </c>
      <c r="C347" s="59" t="s">
        <v>646</v>
      </c>
      <c r="D347" s="59" t="s">
        <v>872</v>
      </c>
      <c r="E347" t="s">
        <v>84</v>
      </c>
      <c r="F347" s="1" t="s">
        <v>958</v>
      </c>
      <c r="G347" t="s">
        <v>954</v>
      </c>
      <c r="I347" t="s">
        <v>959</v>
      </c>
      <c r="J347" s="26">
        <v>46098</v>
      </c>
      <c r="K347" s="26">
        <v>46104</v>
      </c>
      <c r="L347" t="s">
        <v>29</v>
      </c>
    </row>
    <row r="348" spans="2:29" ht="15" hidden="1" customHeight="1">
      <c r="B348" s="58" t="s">
        <v>960</v>
      </c>
      <c r="C348" s="59" t="s">
        <v>646</v>
      </c>
      <c r="D348" s="59" t="s">
        <v>872</v>
      </c>
      <c r="E348" t="s">
        <v>84</v>
      </c>
      <c r="F348" s="1" t="s">
        <v>961</v>
      </c>
      <c r="G348" t="s">
        <v>954</v>
      </c>
      <c r="I348" t="s">
        <v>151</v>
      </c>
      <c r="J348" s="26">
        <v>46098</v>
      </c>
      <c r="K348" s="26">
        <v>46104</v>
      </c>
      <c r="L348" t="s">
        <v>29</v>
      </c>
    </row>
    <row r="349" spans="2:29" s="111" customFormat="1" ht="15" hidden="1" customHeight="1">
      <c r="B349" s="58" t="s">
        <v>962</v>
      </c>
      <c r="C349" s="59" t="s">
        <v>646</v>
      </c>
      <c r="D349" s="59" t="s">
        <v>872</v>
      </c>
      <c r="E349" t="s">
        <v>84</v>
      </c>
      <c r="F349" s="1" t="s">
        <v>963</v>
      </c>
      <c r="G349" t="s">
        <v>874</v>
      </c>
      <c r="H349"/>
      <c r="I349" t="s">
        <v>151</v>
      </c>
      <c r="J349" s="26">
        <v>46101</v>
      </c>
      <c r="K349" s="26">
        <v>46105</v>
      </c>
      <c r="L349" t="s">
        <v>29</v>
      </c>
    </row>
    <row r="350" spans="2:29" ht="15" hidden="1" customHeight="1">
      <c r="B350" s="58" t="s">
        <v>964</v>
      </c>
      <c r="C350" s="59" t="s">
        <v>646</v>
      </c>
      <c r="D350" s="59" t="s">
        <v>872</v>
      </c>
      <c r="E350" t="s">
        <v>84</v>
      </c>
      <c r="F350" s="1" t="s">
        <v>965</v>
      </c>
      <c r="G350" t="s">
        <v>874</v>
      </c>
      <c r="I350" t="s">
        <v>876</v>
      </c>
      <c r="J350" s="26">
        <v>46104</v>
      </c>
      <c r="K350" s="26">
        <v>46112</v>
      </c>
      <c r="L350" t="s">
        <v>29</v>
      </c>
    </row>
    <row r="351" spans="2:29" ht="15" hidden="1" customHeight="1">
      <c r="B351" s="58" t="s">
        <v>966</v>
      </c>
      <c r="C351" s="59" t="s">
        <v>646</v>
      </c>
      <c r="D351" s="59" t="s">
        <v>872</v>
      </c>
      <c r="E351" t="s">
        <v>888</v>
      </c>
      <c r="F351" s="1" t="s">
        <v>967</v>
      </c>
      <c r="G351" t="s">
        <v>893</v>
      </c>
      <c r="I351" t="s">
        <v>920</v>
      </c>
      <c r="J351" s="26">
        <v>46112</v>
      </c>
      <c r="K351" s="26">
        <v>46119</v>
      </c>
      <c r="L351" t="s">
        <v>29</v>
      </c>
    </row>
    <row r="352" spans="2:29" s="111" customFormat="1" ht="15" hidden="1" customHeight="1">
      <c r="B352" s="58" t="s">
        <v>968</v>
      </c>
      <c r="C352" s="59" t="s">
        <v>646</v>
      </c>
      <c r="D352" s="59" t="s">
        <v>872</v>
      </c>
      <c r="E352" t="s">
        <v>888</v>
      </c>
      <c r="F352" s="1" t="s">
        <v>969</v>
      </c>
      <c r="G352" t="s">
        <v>893</v>
      </c>
      <c r="H352"/>
      <c r="I352" t="s">
        <v>920</v>
      </c>
      <c r="J352" s="26">
        <v>46112</v>
      </c>
      <c r="K352" s="26">
        <v>46119</v>
      </c>
      <c r="L352" t="s">
        <v>29</v>
      </c>
    </row>
    <row r="353" spans="2:12" ht="15" hidden="1" customHeight="1">
      <c r="B353" s="58" t="s">
        <v>970</v>
      </c>
      <c r="C353" s="59" t="s">
        <v>646</v>
      </c>
      <c r="D353" s="59" t="s">
        <v>872</v>
      </c>
      <c r="E353" t="s">
        <v>84</v>
      </c>
      <c r="F353" s="1" t="s">
        <v>924</v>
      </c>
      <c r="G353" t="s">
        <v>874</v>
      </c>
      <c r="I353" t="s">
        <v>959</v>
      </c>
      <c r="J353" s="26">
        <v>46112</v>
      </c>
      <c r="K353" s="26">
        <v>46119</v>
      </c>
      <c r="L353" t="s">
        <v>29</v>
      </c>
    </row>
    <row r="354" spans="2:12" ht="15" hidden="1" customHeight="1">
      <c r="B354" t="s">
        <v>971</v>
      </c>
      <c r="C354" t="s">
        <v>646</v>
      </c>
      <c r="D354" t="s">
        <v>872</v>
      </c>
      <c r="E354" t="s">
        <v>84</v>
      </c>
      <c r="F354" s="1" t="s">
        <v>972</v>
      </c>
      <c r="G354" t="s">
        <v>893</v>
      </c>
      <c r="I354" t="s">
        <v>876</v>
      </c>
      <c r="J354" s="26">
        <v>46119</v>
      </c>
      <c r="K354" s="26">
        <v>46126</v>
      </c>
      <c r="L354" t="s">
        <v>29</v>
      </c>
    </row>
    <row r="355" spans="2:12" ht="15" hidden="1" customHeight="1">
      <c r="B355" t="s">
        <v>973</v>
      </c>
      <c r="C355" t="s">
        <v>646</v>
      </c>
      <c r="D355" t="s">
        <v>872</v>
      </c>
      <c r="E355" t="s">
        <v>84</v>
      </c>
      <c r="F355" s="1" t="s">
        <v>974</v>
      </c>
      <c r="G355" t="s">
        <v>879</v>
      </c>
      <c r="I355" t="s">
        <v>975</v>
      </c>
      <c r="J355" s="26">
        <v>46119</v>
      </c>
      <c r="K355" s="26">
        <v>46126</v>
      </c>
      <c r="L355" t="s">
        <v>29</v>
      </c>
    </row>
    <row r="356" spans="2:12" ht="15" hidden="1" customHeight="1">
      <c r="B356" t="s">
        <v>976</v>
      </c>
      <c r="C356" t="s">
        <v>646</v>
      </c>
      <c r="D356" t="s">
        <v>872</v>
      </c>
      <c r="E356" t="s">
        <v>84</v>
      </c>
      <c r="F356" s="67" t="s">
        <v>977</v>
      </c>
      <c r="G356" t="s">
        <v>439</v>
      </c>
      <c r="I356" t="s">
        <v>959</v>
      </c>
      <c r="J356" s="26">
        <v>46129</v>
      </c>
      <c r="K356" s="26">
        <v>46132</v>
      </c>
      <c r="L356" t="s">
        <v>29</v>
      </c>
    </row>
    <row r="357" spans="2:12" ht="15" hidden="1" customHeight="1">
      <c r="B357" t="s">
        <v>978</v>
      </c>
      <c r="C357" t="s">
        <v>646</v>
      </c>
      <c r="D357" t="s">
        <v>872</v>
      </c>
      <c r="E357" t="s">
        <v>917</v>
      </c>
      <c r="F357" s="1" t="s">
        <v>979</v>
      </c>
      <c r="G357" t="s">
        <v>113</v>
      </c>
      <c r="I357" t="s">
        <v>980</v>
      </c>
      <c r="J357" s="26">
        <v>46129</v>
      </c>
      <c r="K357" s="26">
        <v>46132</v>
      </c>
      <c r="L357" t="s">
        <v>29</v>
      </c>
    </row>
    <row r="358" spans="2:12" ht="15" hidden="1" customHeight="1">
      <c r="B358" t="s">
        <v>981</v>
      </c>
      <c r="C358" t="s">
        <v>646</v>
      </c>
      <c r="D358" t="s">
        <v>872</v>
      </c>
      <c r="E358" t="s">
        <v>84</v>
      </c>
      <c r="F358" s="1" t="s">
        <v>982</v>
      </c>
      <c r="G358" t="s">
        <v>893</v>
      </c>
      <c r="I358" t="s">
        <v>959</v>
      </c>
      <c r="J358" s="26">
        <v>46119</v>
      </c>
      <c r="K358" s="26">
        <v>46125</v>
      </c>
      <c r="L358" t="s">
        <v>29</v>
      </c>
    </row>
    <row r="359" spans="2:12" ht="15" customHeight="1">
      <c r="B359" s="111" t="s">
        <v>983</v>
      </c>
      <c r="C359" s="111" t="s">
        <v>646</v>
      </c>
      <c r="D359" s="111" t="s">
        <v>872</v>
      </c>
      <c r="E359" s="111" t="s">
        <v>888</v>
      </c>
      <c r="F359" s="102" t="s">
        <v>984</v>
      </c>
      <c r="G359" s="111" t="s">
        <v>893</v>
      </c>
      <c r="H359" s="111"/>
      <c r="I359" s="111" t="s">
        <v>920</v>
      </c>
      <c r="J359" s="112">
        <v>46098</v>
      </c>
      <c r="K359" s="112">
        <v>46104</v>
      </c>
      <c r="L359" s="111" t="s">
        <v>106</v>
      </c>
    </row>
    <row r="360" spans="2:12" ht="29.1" hidden="1">
      <c r="B360" t="s">
        <v>985</v>
      </c>
      <c r="C360" t="s">
        <v>646</v>
      </c>
      <c r="D360" t="s">
        <v>872</v>
      </c>
      <c r="E360" t="s">
        <v>917</v>
      </c>
      <c r="F360" s="1" t="s">
        <v>986</v>
      </c>
      <c r="G360" t="s">
        <v>113</v>
      </c>
      <c r="I360" t="s">
        <v>987</v>
      </c>
      <c r="J360" s="26">
        <v>46126</v>
      </c>
      <c r="K360" s="26">
        <v>46132</v>
      </c>
      <c r="L360" t="s">
        <v>29</v>
      </c>
    </row>
    <row r="361" spans="2:12" ht="15" hidden="1" customHeight="1">
      <c r="B361" t="s">
        <v>988</v>
      </c>
      <c r="C361" t="s">
        <v>646</v>
      </c>
      <c r="D361" t="s">
        <v>872</v>
      </c>
      <c r="E361" t="s">
        <v>943</v>
      </c>
      <c r="F361" s="1" t="s">
        <v>989</v>
      </c>
      <c r="G361" t="s">
        <v>945</v>
      </c>
      <c r="I361" t="s">
        <v>990</v>
      </c>
      <c r="J361" s="26">
        <v>46126</v>
      </c>
      <c r="K361" s="26">
        <v>46132</v>
      </c>
      <c r="L361" t="s">
        <v>29</v>
      </c>
    </row>
    <row r="362" spans="2:12" ht="15" hidden="1" customHeight="1">
      <c r="B362" t="s">
        <v>991</v>
      </c>
      <c r="C362" t="s">
        <v>646</v>
      </c>
      <c r="D362" t="s">
        <v>872</v>
      </c>
      <c r="E362" t="s">
        <v>84</v>
      </c>
      <c r="F362" s="1" t="s">
        <v>992</v>
      </c>
      <c r="G362" t="s">
        <v>874</v>
      </c>
      <c r="I362" t="s">
        <v>990</v>
      </c>
      <c r="J362" s="26">
        <v>46126</v>
      </c>
      <c r="K362" s="26">
        <v>46132</v>
      </c>
      <c r="L362" t="s">
        <v>29</v>
      </c>
    </row>
    <row r="363" spans="2:12" ht="15" hidden="1" customHeight="1">
      <c r="B363" t="s">
        <v>993</v>
      </c>
      <c r="C363" t="s">
        <v>646</v>
      </c>
      <c r="D363" t="s">
        <v>872</v>
      </c>
      <c r="E363" t="s">
        <v>943</v>
      </c>
      <c r="F363" s="1" t="s">
        <v>994</v>
      </c>
      <c r="G363" t="s">
        <v>893</v>
      </c>
      <c r="I363" t="s">
        <v>990</v>
      </c>
      <c r="J363" s="26">
        <v>46126</v>
      </c>
      <c r="K363" s="26">
        <v>46132</v>
      </c>
      <c r="L363" t="s">
        <v>29</v>
      </c>
    </row>
    <row r="364" spans="2:12" ht="15" hidden="1" customHeight="1">
      <c r="B364" t="s">
        <v>995</v>
      </c>
      <c r="C364" t="s">
        <v>646</v>
      </c>
      <c r="D364" t="s">
        <v>872</v>
      </c>
      <c r="E364" t="s">
        <v>943</v>
      </c>
      <c r="F364" s="1" t="s">
        <v>996</v>
      </c>
      <c r="I364" t="s">
        <v>980</v>
      </c>
      <c r="J364" s="26">
        <v>46126</v>
      </c>
      <c r="K364" s="26">
        <v>46132</v>
      </c>
      <c r="L364" t="s">
        <v>29</v>
      </c>
    </row>
    <row r="365" spans="2:12" ht="15" hidden="1" customHeight="1">
      <c r="B365" t="s">
        <v>997</v>
      </c>
      <c r="C365" t="s">
        <v>646</v>
      </c>
      <c r="D365" t="s">
        <v>872</v>
      </c>
      <c r="E365" t="s">
        <v>84</v>
      </c>
      <c r="F365" s="1" t="s">
        <v>998</v>
      </c>
      <c r="G365" t="s">
        <v>874</v>
      </c>
      <c r="I365" t="s">
        <v>980</v>
      </c>
      <c r="J365" s="26">
        <v>46126</v>
      </c>
      <c r="K365" s="26">
        <v>46132</v>
      </c>
      <c r="L365" t="s">
        <v>29</v>
      </c>
    </row>
    <row r="366" spans="2:12" ht="15" hidden="1" customHeight="1">
      <c r="B366" t="s">
        <v>999</v>
      </c>
      <c r="C366" t="s">
        <v>646</v>
      </c>
      <c r="D366" t="s">
        <v>872</v>
      </c>
      <c r="E366" t="s">
        <v>943</v>
      </c>
      <c r="F366" s="67" t="s">
        <v>1000</v>
      </c>
      <c r="G366" t="s">
        <v>945</v>
      </c>
      <c r="I366" t="s">
        <v>980</v>
      </c>
      <c r="J366" s="26">
        <v>46126</v>
      </c>
      <c r="K366" s="26">
        <v>46132</v>
      </c>
      <c r="L366" t="s">
        <v>29</v>
      </c>
    </row>
    <row r="367" spans="2:12" ht="15" customHeight="1">
      <c r="B367" s="111" t="s">
        <v>1001</v>
      </c>
      <c r="C367" s="111" t="s">
        <v>646</v>
      </c>
      <c r="D367" s="111" t="s">
        <v>872</v>
      </c>
      <c r="E367" s="111" t="s">
        <v>943</v>
      </c>
      <c r="F367" s="102" t="s">
        <v>1002</v>
      </c>
      <c r="G367" s="111"/>
      <c r="H367" s="111"/>
      <c r="I367" s="111" t="s">
        <v>1003</v>
      </c>
      <c r="J367" s="112">
        <v>46132</v>
      </c>
      <c r="K367" s="111"/>
      <c r="L367" s="111" t="s">
        <v>106</v>
      </c>
    </row>
    <row r="368" spans="2:12" ht="15" hidden="1" customHeight="1">
      <c r="B368" t="s">
        <v>1004</v>
      </c>
      <c r="C368" t="s">
        <v>646</v>
      </c>
      <c r="D368" t="s">
        <v>872</v>
      </c>
      <c r="E368" t="s">
        <v>84</v>
      </c>
      <c r="F368" s="1" t="s">
        <v>1005</v>
      </c>
      <c r="G368" t="s">
        <v>260</v>
      </c>
      <c r="I368" t="s">
        <v>1006</v>
      </c>
      <c r="J368" s="26">
        <v>46140</v>
      </c>
      <c r="K368" s="26">
        <v>46146</v>
      </c>
      <c r="L368" t="s">
        <v>29</v>
      </c>
    </row>
    <row r="369" spans="2:12" ht="15" customHeight="1">
      <c r="B369" s="111" t="s">
        <v>1007</v>
      </c>
      <c r="C369" s="111" t="s">
        <v>646</v>
      </c>
      <c r="D369" s="111" t="s">
        <v>872</v>
      </c>
      <c r="E369" s="111" t="s">
        <v>84</v>
      </c>
      <c r="F369" s="102" t="s">
        <v>1008</v>
      </c>
      <c r="G369" s="111" t="s">
        <v>260</v>
      </c>
      <c r="H369" s="111"/>
      <c r="I369" s="111" t="s">
        <v>876</v>
      </c>
      <c r="J369" s="112">
        <v>46140</v>
      </c>
      <c r="K369" s="112">
        <v>46146</v>
      </c>
      <c r="L369" s="111" t="s">
        <v>106</v>
      </c>
    </row>
    <row r="370" spans="2:12" ht="15" hidden="1" customHeight="1">
      <c r="B370" t="s">
        <v>1009</v>
      </c>
      <c r="C370" t="s">
        <v>646</v>
      </c>
      <c r="D370" t="s">
        <v>872</v>
      </c>
      <c r="E370" t="s">
        <v>1010</v>
      </c>
      <c r="F370" s="1" t="s">
        <v>1011</v>
      </c>
      <c r="I370" t="s">
        <v>1003</v>
      </c>
      <c r="J370" s="26">
        <v>46147</v>
      </c>
      <c r="K370" s="26">
        <v>46153</v>
      </c>
      <c r="L370" t="s">
        <v>29</v>
      </c>
    </row>
    <row r="371" spans="2:12" ht="15" hidden="1" customHeight="1">
      <c r="B371" t="s">
        <v>1012</v>
      </c>
      <c r="C371" t="s">
        <v>646</v>
      </c>
      <c r="D371" t="s">
        <v>872</v>
      </c>
      <c r="E371" t="s">
        <v>1010</v>
      </c>
      <c r="F371" s="1" t="s">
        <v>1013</v>
      </c>
      <c r="G371" t="s">
        <v>113</v>
      </c>
      <c r="I371" t="s">
        <v>1003</v>
      </c>
      <c r="J371" s="26">
        <v>46153</v>
      </c>
      <c r="K371" s="26">
        <v>46160</v>
      </c>
      <c r="L371" t="s">
        <v>29</v>
      </c>
    </row>
    <row r="372" spans="2:12" s="111" customFormat="1" ht="15" customHeight="1">
      <c r="B372" s="111" t="s">
        <v>1014</v>
      </c>
      <c r="C372" s="111" t="s">
        <v>646</v>
      </c>
      <c r="D372" s="111" t="s">
        <v>872</v>
      </c>
      <c r="E372" s="111" t="s">
        <v>1010</v>
      </c>
      <c r="F372" s="117" t="s">
        <v>1015</v>
      </c>
      <c r="G372" s="111" t="s">
        <v>113</v>
      </c>
      <c r="I372" s="111" t="s">
        <v>904</v>
      </c>
      <c r="J372" s="112">
        <v>46161</v>
      </c>
      <c r="K372" s="112">
        <v>46168</v>
      </c>
      <c r="L372" s="111" t="s">
        <v>106</v>
      </c>
    </row>
    <row r="373" spans="2:12" s="111" customFormat="1" ht="15" hidden="1" customHeight="1">
      <c r="B373" t="s">
        <v>1016</v>
      </c>
      <c r="C373" t="s">
        <v>646</v>
      </c>
      <c r="D373" t="s">
        <v>1017</v>
      </c>
      <c r="E373" t="s">
        <v>648</v>
      </c>
      <c r="F373" s="1" t="s">
        <v>1018</v>
      </c>
      <c r="G373" t="s">
        <v>650</v>
      </c>
      <c r="H373" t="s">
        <v>1019</v>
      </c>
      <c r="I373" t="s">
        <v>1020</v>
      </c>
      <c r="J373" s="14"/>
      <c r="K373" s="14"/>
      <c r="L373" t="s">
        <v>29</v>
      </c>
    </row>
    <row r="374" spans="2:12" ht="15" hidden="1" customHeight="1">
      <c r="B374" t="s">
        <v>1021</v>
      </c>
      <c r="C374" t="s">
        <v>646</v>
      </c>
      <c r="D374" t="s">
        <v>1017</v>
      </c>
      <c r="E374" t="s">
        <v>648</v>
      </c>
      <c r="F374" s="1" t="s">
        <v>1022</v>
      </c>
      <c r="G374" t="s">
        <v>1023</v>
      </c>
      <c r="H374" s="2" t="s">
        <v>275</v>
      </c>
      <c r="I374" t="s">
        <v>1024</v>
      </c>
      <c r="J374" s="14"/>
      <c r="K374" s="14"/>
      <c r="L374" t="s">
        <v>29</v>
      </c>
    </row>
    <row r="375" spans="2:12" ht="15" hidden="1" customHeight="1">
      <c r="B375" t="s">
        <v>1025</v>
      </c>
      <c r="C375" t="s">
        <v>646</v>
      </c>
      <c r="D375" t="s">
        <v>1017</v>
      </c>
      <c r="E375" t="s">
        <v>648</v>
      </c>
      <c r="F375" s="1" t="s">
        <v>1026</v>
      </c>
      <c r="G375" t="s">
        <v>1023</v>
      </c>
      <c r="H375" s="2" t="s">
        <v>275</v>
      </c>
      <c r="I375" t="s">
        <v>1024</v>
      </c>
      <c r="J375" s="14"/>
      <c r="K375" s="14"/>
      <c r="L375" t="s">
        <v>29</v>
      </c>
    </row>
    <row r="376" spans="2:12" ht="15" hidden="1" customHeight="1">
      <c r="B376" t="s">
        <v>1027</v>
      </c>
      <c r="C376" t="s">
        <v>646</v>
      </c>
      <c r="D376" t="s">
        <v>1017</v>
      </c>
      <c r="E376" t="s">
        <v>648</v>
      </c>
      <c r="F376" s="1" t="s">
        <v>1028</v>
      </c>
      <c r="G376" t="s">
        <v>1023</v>
      </c>
      <c r="H376" s="2" t="s">
        <v>275</v>
      </c>
      <c r="I376" t="s">
        <v>1024</v>
      </c>
      <c r="J376" s="14"/>
      <c r="K376" s="14"/>
      <c r="L376" t="s">
        <v>29</v>
      </c>
    </row>
    <row r="377" spans="2:12" ht="15" hidden="1" customHeight="1">
      <c r="B377" t="s">
        <v>1029</v>
      </c>
      <c r="C377" t="s">
        <v>646</v>
      </c>
      <c r="D377" t="s">
        <v>1017</v>
      </c>
      <c r="E377" t="s">
        <v>648</v>
      </c>
      <c r="F377" s="1" t="s">
        <v>1030</v>
      </c>
      <c r="G377" t="s">
        <v>1023</v>
      </c>
      <c r="H377" s="2" t="s">
        <v>275</v>
      </c>
      <c r="I377" t="s">
        <v>1024</v>
      </c>
      <c r="J377" s="14"/>
      <c r="K377" s="14"/>
      <c r="L377" t="s">
        <v>29</v>
      </c>
    </row>
    <row r="378" spans="2:12" ht="15" hidden="1" customHeight="1">
      <c r="B378" t="s">
        <v>1031</v>
      </c>
      <c r="C378" t="s">
        <v>646</v>
      </c>
      <c r="D378" t="s">
        <v>1017</v>
      </c>
      <c r="E378" t="s">
        <v>648</v>
      </c>
      <c r="F378" s="1" t="s">
        <v>1032</v>
      </c>
      <c r="G378" t="s">
        <v>121</v>
      </c>
      <c r="H378" s="14" t="s">
        <v>651</v>
      </c>
      <c r="I378" t="s">
        <v>6</v>
      </c>
      <c r="J378" s="26">
        <v>46091</v>
      </c>
      <c r="K378" s="26">
        <v>46126</v>
      </c>
      <c r="L378" t="s">
        <v>29</v>
      </c>
    </row>
    <row r="379" spans="2:12" ht="15" hidden="1" customHeight="1">
      <c r="B379" t="s">
        <v>1033</v>
      </c>
      <c r="C379" t="s">
        <v>646</v>
      </c>
      <c r="D379" t="s">
        <v>1017</v>
      </c>
      <c r="E379" t="s">
        <v>1034</v>
      </c>
      <c r="F379" s="1" t="s">
        <v>1035</v>
      </c>
      <c r="G379" t="s">
        <v>1036</v>
      </c>
      <c r="H379" s="2" t="s">
        <v>1037</v>
      </c>
      <c r="I379" t="s">
        <v>1038</v>
      </c>
      <c r="J379" s="14"/>
      <c r="K379" s="14"/>
      <c r="L379" t="s">
        <v>29</v>
      </c>
    </row>
    <row r="380" spans="2:12" s="111" customFormat="1" ht="15" hidden="1" customHeight="1">
      <c r="B380" t="s">
        <v>1039</v>
      </c>
      <c r="C380" t="s">
        <v>646</v>
      </c>
      <c r="D380" t="s">
        <v>1017</v>
      </c>
      <c r="E380" t="s">
        <v>1034</v>
      </c>
      <c r="F380" s="1" t="s">
        <v>1040</v>
      </c>
      <c r="G380" t="s">
        <v>1036</v>
      </c>
      <c r="H380" s="2" t="s">
        <v>1037</v>
      </c>
      <c r="I380" t="s">
        <v>1038</v>
      </c>
      <c r="J380" s="26">
        <v>46091</v>
      </c>
      <c r="K380" s="26">
        <v>46119</v>
      </c>
      <c r="L380" t="s">
        <v>29</v>
      </c>
    </row>
    <row r="381" spans="2:12" ht="15" hidden="1" customHeight="1">
      <c r="B381" t="s">
        <v>1041</v>
      </c>
      <c r="C381" t="s">
        <v>646</v>
      </c>
      <c r="D381" t="s">
        <v>1017</v>
      </c>
      <c r="E381" t="s">
        <v>1034</v>
      </c>
      <c r="F381" s="1" t="s">
        <v>1042</v>
      </c>
      <c r="G381" t="s">
        <v>1043</v>
      </c>
      <c r="H381" s="2" t="s">
        <v>1037</v>
      </c>
      <c r="I381" t="s">
        <v>1038</v>
      </c>
      <c r="L381" t="s">
        <v>29</v>
      </c>
    </row>
    <row r="382" spans="2:12" ht="15" hidden="1" customHeight="1">
      <c r="B382" t="s">
        <v>1044</v>
      </c>
      <c r="C382" t="s">
        <v>646</v>
      </c>
      <c r="D382" t="s">
        <v>1017</v>
      </c>
      <c r="E382" t="s">
        <v>1034</v>
      </c>
      <c r="F382" s="1" t="s">
        <v>1045</v>
      </c>
      <c r="G382" t="s">
        <v>1046</v>
      </c>
      <c r="H382" t="s">
        <v>1047</v>
      </c>
      <c r="I382" t="s">
        <v>1038</v>
      </c>
      <c r="J382" s="26">
        <v>46091</v>
      </c>
      <c r="K382" s="26">
        <v>46126</v>
      </c>
      <c r="L382" t="s">
        <v>29</v>
      </c>
    </row>
    <row r="383" spans="2:12" ht="15" hidden="1" customHeight="1">
      <c r="B383" t="s">
        <v>1048</v>
      </c>
      <c r="C383" t="s">
        <v>646</v>
      </c>
      <c r="D383" t="s">
        <v>1017</v>
      </c>
      <c r="E383" t="s">
        <v>1034</v>
      </c>
      <c r="F383" s="1" t="s">
        <v>1049</v>
      </c>
      <c r="G383" t="s">
        <v>1050</v>
      </c>
      <c r="H383" s="2" t="s">
        <v>1051</v>
      </c>
      <c r="I383" t="s">
        <v>1038</v>
      </c>
      <c r="L383" t="s">
        <v>29</v>
      </c>
    </row>
    <row r="384" spans="2:12" ht="15" hidden="1" customHeight="1">
      <c r="B384" t="s">
        <v>1052</v>
      </c>
      <c r="C384" t="s">
        <v>646</v>
      </c>
      <c r="D384" t="s">
        <v>1017</v>
      </c>
      <c r="E384" t="s">
        <v>1034</v>
      </c>
      <c r="F384" s="1" t="s">
        <v>1053</v>
      </c>
      <c r="G384" t="s">
        <v>1054</v>
      </c>
      <c r="H384" s="2" t="s">
        <v>275</v>
      </c>
      <c r="I384" t="s">
        <v>1055</v>
      </c>
      <c r="J384" s="26">
        <v>46105</v>
      </c>
      <c r="K384" s="26">
        <v>46133</v>
      </c>
      <c r="L384" t="s">
        <v>29</v>
      </c>
    </row>
    <row r="385" spans="2:12" ht="15" hidden="1" customHeight="1">
      <c r="B385" t="s">
        <v>1056</v>
      </c>
      <c r="C385" t="s">
        <v>646</v>
      </c>
      <c r="D385" t="s">
        <v>1017</v>
      </c>
      <c r="E385" t="s">
        <v>1034</v>
      </c>
      <c r="F385" s="1" t="s">
        <v>1057</v>
      </c>
      <c r="G385" s="2" t="s">
        <v>1058</v>
      </c>
      <c r="H385" s="2" t="s">
        <v>275</v>
      </c>
      <c r="I385" t="s">
        <v>406</v>
      </c>
      <c r="J385" s="14"/>
      <c r="K385" s="14"/>
      <c r="L385" t="s">
        <v>29</v>
      </c>
    </row>
    <row r="386" spans="2:12" ht="15" hidden="1" customHeight="1">
      <c r="B386" t="s">
        <v>1059</v>
      </c>
      <c r="C386" t="s">
        <v>646</v>
      </c>
      <c r="D386" t="s">
        <v>1017</v>
      </c>
      <c r="E386" t="s">
        <v>1034</v>
      </c>
      <c r="F386" s="1" t="s">
        <v>1060</v>
      </c>
      <c r="G386" t="s">
        <v>1061</v>
      </c>
      <c r="H386" t="s">
        <v>1036</v>
      </c>
      <c r="I386" t="s">
        <v>406</v>
      </c>
      <c r="J386" s="26">
        <v>46133</v>
      </c>
      <c r="K386" s="26">
        <v>46147</v>
      </c>
      <c r="L386" t="s">
        <v>29</v>
      </c>
    </row>
    <row r="387" spans="2:12" ht="15" hidden="1" customHeight="1">
      <c r="B387" t="s">
        <v>1062</v>
      </c>
      <c r="C387" t="s">
        <v>646</v>
      </c>
      <c r="D387" t="s">
        <v>1017</v>
      </c>
      <c r="E387" t="s">
        <v>1034</v>
      </c>
      <c r="F387" s="1" t="s">
        <v>1063</v>
      </c>
      <c r="G387" t="s">
        <v>1064</v>
      </c>
      <c r="H387" t="s">
        <v>1036</v>
      </c>
      <c r="I387" t="s">
        <v>406</v>
      </c>
      <c r="J387" s="26">
        <v>46098</v>
      </c>
      <c r="K387" s="26">
        <v>46119</v>
      </c>
      <c r="L387" t="s">
        <v>29</v>
      </c>
    </row>
    <row r="388" spans="2:12" ht="15" hidden="1" customHeight="1">
      <c r="B388" t="s">
        <v>1065</v>
      </c>
      <c r="C388" t="s">
        <v>646</v>
      </c>
      <c r="D388" t="s">
        <v>1017</v>
      </c>
      <c r="E388" t="s">
        <v>748</v>
      </c>
      <c r="F388" s="1" t="s">
        <v>1066</v>
      </c>
      <c r="G388" t="s">
        <v>113</v>
      </c>
      <c r="H388" t="s">
        <v>915</v>
      </c>
      <c r="I388" t="s">
        <v>6</v>
      </c>
      <c r="J388" s="14"/>
      <c r="K388" s="14"/>
      <c r="L388" t="s">
        <v>29</v>
      </c>
    </row>
    <row r="389" spans="2:12" ht="15" hidden="1" customHeight="1">
      <c r="B389" t="s">
        <v>1067</v>
      </c>
      <c r="C389" t="s">
        <v>646</v>
      </c>
      <c r="D389" t="s">
        <v>1017</v>
      </c>
      <c r="E389" t="s">
        <v>748</v>
      </c>
      <c r="F389" s="1" t="s">
        <v>1068</v>
      </c>
      <c r="G389" t="s">
        <v>113</v>
      </c>
      <c r="H389" t="s">
        <v>1069</v>
      </c>
      <c r="I389" t="s">
        <v>6</v>
      </c>
      <c r="J389" s="14"/>
      <c r="K389" s="14"/>
      <c r="L389" t="s">
        <v>29</v>
      </c>
    </row>
    <row r="390" spans="2:12" ht="15" hidden="1" customHeight="1">
      <c r="B390" s="111" t="s">
        <v>1070</v>
      </c>
      <c r="C390" s="111" t="s">
        <v>646</v>
      </c>
      <c r="D390" s="111" t="s">
        <v>1017</v>
      </c>
      <c r="E390" s="111" t="s">
        <v>1071</v>
      </c>
      <c r="F390" s="102" t="s">
        <v>1072</v>
      </c>
      <c r="G390" s="111" t="s">
        <v>439</v>
      </c>
      <c r="H390" s="102" t="s">
        <v>1073</v>
      </c>
      <c r="I390" s="111" t="s">
        <v>406</v>
      </c>
      <c r="J390" s="112">
        <v>46139</v>
      </c>
      <c r="K390" s="112">
        <v>46168</v>
      </c>
      <c r="L390" s="111" t="s">
        <v>33</v>
      </c>
    </row>
    <row r="391" spans="2:12" ht="15" hidden="1" customHeight="1">
      <c r="B391" t="s">
        <v>1074</v>
      </c>
      <c r="C391" t="s">
        <v>646</v>
      </c>
      <c r="D391" t="s">
        <v>1017</v>
      </c>
      <c r="E391" t="s">
        <v>1075</v>
      </c>
      <c r="F391" s="1" t="s">
        <v>1076</v>
      </c>
      <c r="G391" t="s">
        <v>439</v>
      </c>
      <c r="H391" s="1" t="s">
        <v>1077</v>
      </c>
      <c r="I391" t="s">
        <v>406</v>
      </c>
      <c r="J391" s="26">
        <v>46139</v>
      </c>
      <c r="K391" s="26">
        <v>46168</v>
      </c>
      <c r="L391" t="s">
        <v>29</v>
      </c>
    </row>
    <row r="392" spans="2:12" s="111" customFormat="1" ht="15" customHeight="1">
      <c r="B392" s="111" t="s">
        <v>1078</v>
      </c>
      <c r="C392" s="111" t="s">
        <v>646</v>
      </c>
      <c r="D392" s="111" t="s">
        <v>1017</v>
      </c>
      <c r="E392" s="111" t="s">
        <v>1079</v>
      </c>
      <c r="F392" s="102" t="s">
        <v>1080</v>
      </c>
      <c r="G392" s="111" t="s">
        <v>439</v>
      </c>
      <c r="H392" s="102" t="s">
        <v>1076</v>
      </c>
      <c r="I392" s="111" t="s">
        <v>406</v>
      </c>
      <c r="J392" s="112">
        <v>46139</v>
      </c>
      <c r="K392" s="112">
        <v>46168</v>
      </c>
      <c r="L392" s="111" t="s">
        <v>106</v>
      </c>
    </row>
    <row r="393" spans="2:12" ht="15" hidden="1" customHeight="1">
      <c r="B393" s="111" t="s">
        <v>1081</v>
      </c>
      <c r="C393" s="111" t="s">
        <v>646</v>
      </c>
      <c r="D393" s="111" t="s">
        <v>1017</v>
      </c>
      <c r="E393" s="111" t="s">
        <v>1079</v>
      </c>
      <c r="F393" s="117" t="s">
        <v>1082</v>
      </c>
      <c r="G393" s="111" t="s">
        <v>439</v>
      </c>
      <c r="H393" s="102" t="s">
        <v>1080</v>
      </c>
      <c r="I393" s="111" t="s">
        <v>406</v>
      </c>
      <c r="J393" s="112">
        <v>46139</v>
      </c>
      <c r="K393" s="112">
        <v>46168</v>
      </c>
      <c r="L393" s="111" t="s">
        <v>33</v>
      </c>
    </row>
    <row r="394" spans="2:12" ht="15" hidden="1" customHeight="1">
      <c r="B394" t="s">
        <v>1083</v>
      </c>
      <c r="C394" t="s">
        <v>646</v>
      </c>
      <c r="D394" t="s">
        <v>1017</v>
      </c>
      <c r="E394" t="s">
        <v>1079</v>
      </c>
      <c r="F394" s="1" t="s">
        <v>1084</v>
      </c>
      <c r="G394" t="s">
        <v>439</v>
      </c>
      <c r="H394" s="1" t="s">
        <v>1085</v>
      </c>
      <c r="I394" t="s">
        <v>406</v>
      </c>
      <c r="J394" s="26">
        <v>46139</v>
      </c>
      <c r="K394" s="26">
        <v>46168</v>
      </c>
      <c r="L394" t="s">
        <v>29</v>
      </c>
    </row>
    <row r="395" spans="2:12" ht="15" hidden="1" customHeight="1">
      <c r="B395" t="s">
        <v>1086</v>
      </c>
      <c r="C395" t="s">
        <v>646</v>
      </c>
      <c r="D395" t="s">
        <v>1017</v>
      </c>
      <c r="E395" t="s">
        <v>1079</v>
      </c>
      <c r="F395" s="1" t="s">
        <v>1087</v>
      </c>
      <c r="G395" t="s">
        <v>439</v>
      </c>
      <c r="H395" s="1" t="s">
        <v>1084</v>
      </c>
      <c r="I395" t="s">
        <v>406</v>
      </c>
      <c r="J395" s="26">
        <v>46139</v>
      </c>
      <c r="K395" s="26">
        <v>46168</v>
      </c>
      <c r="L395" t="s">
        <v>29</v>
      </c>
    </row>
    <row r="396" spans="2:12" ht="15" hidden="1" customHeight="1">
      <c r="B396" t="s">
        <v>1088</v>
      </c>
      <c r="C396" t="s">
        <v>646</v>
      </c>
      <c r="D396" t="s">
        <v>1017</v>
      </c>
      <c r="E396" t="s">
        <v>648</v>
      </c>
      <c r="F396" s="1" t="s">
        <v>1089</v>
      </c>
      <c r="G396" t="s">
        <v>1023</v>
      </c>
      <c r="H396" s="2" t="s">
        <v>1090</v>
      </c>
      <c r="I396" t="s">
        <v>1091</v>
      </c>
      <c r="J396" s="30">
        <v>46097</v>
      </c>
      <c r="K396" s="30">
        <v>46104</v>
      </c>
      <c r="L396" t="s">
        <v>29</v>
      </c>
    </row>
    <row r="397" spans="2:12" ht="15" hidden="1" customHeight="1">
      <c r="B397" t="s">
        <v>1092</v>
      </c>
      <c r="C397" t="s">
        <v>646</v>
      </c>
      <c r="D397" t="s">
        <v>1017</v>
      </c>
      <c r="E397" t="s">
        <v>648</v>
      </c>
      <c r="F397" s="66" t="s">
        <v>1093</v>
      </c>
      <c r="G397" t="s">
        <v>1023</v>
      </c>
      <c r="H397" s="2" t="s">
        <v>1090</v>
      </c>
      <c r="I397" t="s">
        <v>1094</v>
      </c>
      <c r="J397" s="30">
        <v>46097</v>
      </c>
      <c r="K397" s="30">
        <v>46104</v>
      </c>
      <c r="L397" t="s">
        <v>29</v>
      </c>
    </row>
    <row r="398" spans="2:12" s="111" customFormat="1" ht="15" hidden="1" customHeight="1">
      <c r="B398" t="s">
        <v>1095</v>
      </c>
      <c r="C398" t="s">
        <v>646</v>
      </c>
      <c r="D398" t="s">
        <v>1017</v>
      </c>
      <c r="E398" t="s">
        <v>1034</v>
      </c>
      <c r="F398" s="1" t="s">
        <v>1096</v>
      </c>
      <c r="G398" t="s">
        <v>1097</v>
      </c>
      <c r="H398"/>
      <c r="I398" t="s">
        <v>1038</v>
      </c>
      <c r="J398" s="30">
        <v>46097</v>
      </c>
      <c r="K398" s="30">
        <v>46104</v>
      </c>
      <c r="L398" t="s">
        <v>29</v>
      </c>
    </row>
    <row r="399" spans="2:12" s="111" customFormat="1" ht="15" hidden="1" customHeight="1">
      <c r="B399" t="s">
        <v>1098</v>
      </c>
      <c r="C399" t="s">
        <v>646</v>
      </c>
      <c r="D399" t="s">
        <v>1017</v>
      </c>
      <c r="E399" t="s">
        <v>748</v>
      </c>
      <c r="F399" s="1" t="s">
        <v>1099</v>
      </c>
      <c r="G399" t="s">
        <v>113</v>
      </c>
      <c r="H399"/>
      <c r="I399" t="s">
        <v>6</v>
      </c>
      <c r="J399" s="26">
        <v>47190</v>
      </c>
      <c r="K399" s="26">
        <v>47196</v>
      </c>
      <c r="L399" t="s">
        <v>29</v>
      </c>
    </row>
    <row r="400" spans="2:12" ht="15" hidden="1" customHeight="1">
      <c r="B400" t="s">
        <v>1100</v>
      </c>
      <c r="C400" t="s">
        <v>646</v>
      </c>
      <c r="D400" t="s">
        <v>1017</v>
      </c>
      <c r="E400" t="s">
        <v>1034</v>
      </c>
      <c r="F400" s="1" t="s">
        <v>1101</v>
      </c>
      <c r="G400" t="s">
        <v>1036</v>
      </c>
      <c r="I400" t="s">
        <v>1038</v>
      </c>
      <c r="J400" s="30">
        <v>46097</v>
      </c>
      <c r="K400" s="30">
        <v>46104</v>
      </c>
      <c r="L400" t="s">
        <v>29</v>
      </c>
    </row>
    <row r="401" spans="2:31" ht="15" hidden="1" customHeight="1">
      <c r="B401" t="s">
        <v>1102</v>
      </c>
      <c r="C401" t="s">
        <v>646</v>
      </c>
      <c r="D401" t="s">
        <v>1017</v>
      </c>
      <c r="E401" t="s">
        <v>1034</v>
      </c>
      <c r="F401" s="1" t="s">
        <v>1103</v>
      </c>
      <c r="G401" t="s">
        <v>1036</v>
      </c>
      <c r="I401" t="s">
        <v>1038</v>
      </c>
      <c r="J401" s="30">
        <v>46097</v>
      </c>
      <c r="K401" s="30">
        <v>46104</v>
      </c>
      <c r="L401" t="s">
        <v>29</v>
      </c>
    </row>
    <row r="402" spans="2:31" s="111" customFormat="1" ht="15" hidden="1" customHeight="1">
      <c r="B402" t="s">
        <v>1104</v>
      </c>
      <c r="C402" t="s">
        <v>646</v>
      </c>
      <c r="D402" t="s">
        <v>1017</v>
      </c>
      <c r="E402" t="s">
        <v>648</v>
      </c>
      <c r="F402" s="1" t="s">
        <v>1105</v>
      </c>
      <c r="G402" t="s">
        <v>1023</v>
      </c>
      <c r="H402"/>
      <c r="I402" t="s">
        <v>1094</v>
      </c>
      <c r="J402" s="30">
        <v>46098</v>
      </c>
      <c r="K402" s="30">
        <v>46105</v>
      </c>
      <c r="L402" t="s">
        <v>29</v>
      </c>
    </row>
    <row r="403" spans="2:31" s="111" customFormat="1" ht="15" hidden="1" customHeight="1">
      <c r="B403" t="s">
        <v>1106</v>
      </c>
      <c r="C403" t="s">
        <v>646</v>
      </c>
      <c r="D403" t="s">
        <v>1017</v>
      </c>
      <c r="E403" t="s">
        <v>1034</v>
      </c>
      <c r="F403" s="1" t="s">
        <v>1107</v>
      </c>
      <c r="G403" t="s">
        <v>1097</v>
      </c>
      <c r="H403"/>
      <c r="I403" t="s">
        <v>1108</v>
      </c>
      <c r="J403" s="26">
        <v>46126</v>
      </c>
      <c r="K403" s="26">
        <v>46132</v>
      </c>
      <c r="L403" t="s">
        <v>29</v>
      </c>
    </row>
    <row r="404" spans="2:31" s="111" customFormat="1" ht="15" hidden="1" customHeight="1">
      <c r="B404" t="s">
        <v>1109</v>
      </c>
      <c r="C404" t="s">
        <v>646</v>
      </c>
      <c r="D404" t="s">
        <v>1017</v>
      </c>
      <c r="E404" t="s">
        <v>648</v>
      </c>
      <c r="F404" s="1" t="s">
        <v>1110</v>
      </c>
      <c r="G404" t="s">
        <v>1023</v>
      </c>
      <c r="H404"/>
      <c r="I404" t="s">
        <v>1094</v>
      </c>
      <c r="J404" s="26">
        <v>46119</v>
      </c>
      <c r="K404" s="26">
        <v>46125</v>
      </c>
      <c r="L404" t="s">
        <v>29</v>
      </c>
    </row>
    <row r="405" spans="2:31" s="111" customFormat="1" ht="15" hidden="1" customHeight="1">
      <c r="B405" t="s">
        <v>1111</v>
      </c>
      <c r="C405" t="s">
        <v>646</v>
      </c>
      <c r="D405" t="s">
        <v>1017</v>
      </c>
      <c r="E405" t="s">
        <v>648</v>
      </c>
      <c r="F405" s="1" t="s">
        <v>1112</v>
      </c>
      <c r="G405" t="s">
        <v>1023</v>
      </c>
      <c r="H405"/>
      <c r="I405" t="s">
        <v>1094</v>
      </c>
      <c r="J405" s="26">
        <v>46119</v>
      </c>
      <c r="K405" s="26">
        <v>46125</v>
      </c>
      <c r="L405" t="s">
        <v>29</v>
      </c>
    </row>
    <row r="406" spans="2:31" s="111" customFormat="1" ht="15" hidden="1" customHeight="1">
      <c r="B406" t="s">
        <v>1113</v>
      </c>
      <c r="C406" t="s">
        <v>646</v>
      </c>
      <c r="D406" t="s">
        <v>1017</v>
      </c>
      <c r="E406" t="s">
        <v>1034</v>
      </c>
      <c r="F406" s="1" t="s">
        <v>1114</v>
      </c>
      <c r="G406" t="s">
        <v>1115</v>
      </c>
      <c r="H406"/>
      <c r="I406" t="s">
        <v>1108</v>
      </c>
      <c r="J406" s="26">
        <v>46119</v>
      </c>
      <c r="K406" s="26">
        <v>46125</v>
      </c>
      <c r="L406" t="s">
        <v>29</v>
      </c>
    </row>
    <row r="407" spans="2:31" ht="15" hidden="1" customHeight="1">
      <c r="B407" s="58" t="s">
        <v>1116</v>
      </c>
      <c r="C407" s="59" t="s">
        <v>646</v>
      </c>
      <c r="D407" s="59" t="s">
        <v>1017</v>
      </c>
      <c r="E407" t="s">
        <v>648</v>
      </c>
      <c r="F407" s="1" t="s">
        <v>1117</v>
      </c>
      <c r="G407" t="s">
        <v>121</v>
      </c>
      <c r="I407" t="s">
        <v>1038</v>
      </c>
      <c r="J407" s="26">
        <v>46133</v>
      </c>
      <c r="K407" s="26">
        <v>46139</v>
      </c>
      <c r="L407" t="s">
        <v>29</v>
      </c>
    </row>
    <row r="408" spans="2:31" ht="15" hidden="1" customHeight="1">
      <c r="B408" s="58" t="s">
        <v>1118</v>
      </c>
      <c r="C408" s="59" t="s">
        <v>646</v>
      </c>
      <c r="D408" s="59" t="s">
        <v>1017</v>
      </c>
      <c r="E408" t="s">
        <v>648</v>
      </c>
      <c r="F408" s="1" t="s">
        <v>1119</v>
      </c>
      <c r="G408" t="s">
        <v>121</v>
      </c>
      <c r="I408" t="s">
        <v>1038</v>
      </c>
      <c r="J408" s="26">
        <v>46133</v>
      </c>
      <c r="K408" s="26">
        <v>46139</v>
      </c>
      <c r="L408" t="s">
        <v>29</v>
      </c>
    </row>
    <row r="409" spans="2:31" ht="15" hidden="1" customHeight="1">
      <c r="B409" s="58" t="s">
        <v>1120</v>
      </c>
      <c r="C409" s="59" t="s">
        <v>646</v>
      </c>
      <c r="D409" s="59" t="s">
        <v>1017</v>
      </c>
      <c r="E409" t="s">
        <v>1034</v>
      </c>
      <c r="F409" s="67" t="s">
        <v>1053</v>
      </c>
      <c r="G409" t="s">
        <v>121</v>
      </c>
      <c r="I409" t="s">
        <v>1121</v>
      </c>
      <c r="J409" s="26">
        <v>46125</v>
      </c>
      <c r="K409" s="26">
        <v>46133</v>
      </c>
      <c r="L409" t="s">
        <v>29</v>
      </c>
    </row>
    <row r="410" spans="2:31" ht="15" hidden="1" customHeight="1">
      <c r="B410" s="58" t="s">
        <v>1122</v>
      </c>
      <c r="C410" s="59" t="s">
        <v>646</v>
      </c>
      <c r="D410" s="59" t="s">
        <v>1017</v>
      </c>
      <c r="E410" t="s">
        <v>648</v>
      </c>
      <c r="F410" s="1" t="s">
        <v>1123</v>
      </c>
      <c r="G410" t="s">
        <v>1023</v>
      </c>
      <c r="I410" t="s">
        <v>1094</v>
      </c>
      <c r="J410" s="26">
        <v>46125</v>
      </c>
      <c r="K410" s="26">
        <v>46132</v>
      </c>
      <c r="L410" t="s">
        <v>29</v>
      </c>
    </row>
    <row r="411" spans="2:31" s="111" customFormat="1" ht="15" hidden="1" customHeight="1">
      <c r="B411" s="58" t="s">
        <v>1124</v>
      </c>
      <c r="C411" s="59" t="s">
        <v>646</v>
      </c>
      <c r="D411" s="59" t="s">
        <v>1017</v>
      </c>
      <c r="E411" t="s">
        <v>1034</v>
      </c>
      <c r="F411" s="1" t="s">
        <v>1125</v>
      </c>
      <c r="G411" t="s">
        <v>1115</v>
      </c>
      <c r="H411"/>
      <c r="I411" t="s">
        <v>1126</v>
      </c>
      <c r="J411" s="26">
        <v>46125</v>
      </c>
      <c r="K411" s="26">
        <v>46132</v>
      </c>
      <c r="L411" t="s">
        <v>29</v>
      </c>
    </row>
    <row r="412" spans="2:31" ht="15" hidden="1" customHeight="1">
      <c r="B412" t="s">
        <v>1127</v>
      </c>
      <c r="C412" t="s">
        <v>646</v>
      </c>
      <c r="D412" t="s">
        <v>1017</v>
      </c>
      <c r="E412" t="s">
        <v>648</v>
      </c>
      <c r="F412" s="1" t="s">
        <v>1128</v>
      </c>
      <c r="G412" t="s">
        <v>1023</v>
      </c>
      <c r="I412" t="s">
        <v>6</v>
      </c>
      <c r="J412" s="26">
        <v>46125</v>
      </c>
      <c r="K412" s="26">
        <v>46132</v>
      </c>
      <c r="L412" t="s">
        <v>29</v>
      </c>
    </row>
    <row r="413" spans="2:31" s="111" customFormat="1" ht="15" hidden="1" customHeight="1">
      <c r="B413" t="s">
        <v>1129</v>
      </c>
      <c r="C413" t="s">
        <v>646</v>
      </c>
      <c r="D413" t="s">
        <v>1017</v>
      </c>
      <c r="E413" t="s">
        <v>1034</v>
      </c>
      <c r="F413" s="1" t="s">
        <v>1130</v>
      </c>
      <c r="G413" t="s">
        <v>121</v>
      </c>
      <c r="H413"/>
      <c r="I413" t="s">
        <v>1038</v>
      </c>
      <c r="J413" s="30">
        <v>46097</v>
      </c>
      <c r="K413" s="30">
        <v>46104</v>
      </c>
      <c r="L413" t="s">
        <v>29</v>
      </c>
    </row>
    <row r="414" spans="2:31" s="111" customFormat="1" ht="15" hidden="1" customHeight="1">
      <c r="B414" t="s">
        <v>1131</v>
      </c>
      <c r="C414" t="s">
        <v>646</v>
      </c>
      <c r="D414" t="s">
        <v>1017</v>
      </c>
      <c r="E414" t="s">
        <v>1034</v>
      </c>
      <c r="F414" s="1" t="s">
        <v>1132</v>
      </c>
      <c r="G414"/>
      <c r="H414"/>
      <c r="I414" t="s">
        <v>1133</v>
      </c>
      <c r="J414" s="26">
        <v>46133</v>
      </c>
      <c r="K414" s="26">
        <v>46139</v>
      </c>
      <c r="L414" t="s">
        <v>29</v>
      </c>
    </row>
    <row r="415" spans="2:31" s="111" customFormat="1" ht="15" hidden="1" customHeight="1">
      <c r="B415" t="s">
        <v>1134</v>
      </c>
      <c r="C415" t="s">
        <v>646</v>
      </c>
      <c r="D415" t="s">
        <v>1017</v>
      </c>
      <c r="E415" t="s">
        <v>1034</v>
      </c>
      <c r="F415" s="1" t="s">
        <v>1135</v>
      </c>
      <c r="G415"/>
      <c r="H415"/>
      <c r="I415" t="s">
        <v>1136</v>
      </c>
      <c r="J415" s="26">
        <v>46133</v>
      </c>
      <c r="K415" s="26">
        <v>46139</v>
      </c>
      <c r="L415" t="s">
        <v>29</v>
      </c>
    </row>
    <row r="416" spans="2:31" ht="15" hidden="1" customHeight="1">
      <c r="B416" t="s">
        <v>1137</v>
      </c>
      <c r="C416" t="s">
        <v>646</v>
      </c>
      <c r="D416" t="s">
        <v>1017</v>
      </c>
      <c r="E416" t="s">
        <v>1034</v>
      </c>
      <c r="F416" s="1" t="s">
        <v>1138</v>
      </c>
      <c r="I416" t="s">
        <v>54</v>
      </c>
      <c r="J416" s="26">
        <v>46133</v>
      </c>
      <c r="K416" s="26">
        <v>46146</v>
      </c>
      <c r="L416" t="s">
        <v>29</v>
      </c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E416" t="s">
        <v>1139</v>
      </c>
    </row>
    <row r="417" spans="2:29" ht="30" hidden="1" customHeight="1">
      <c r="B417" t="s">
        <v>1140</v>
      </c>
      <c r="C417" t="s">
        <v>646</v>
      </c>
      <c r="D417" t="s">
        <v>1017</v>
      </c>
      <c r="E417" t="s">
        <v>1034</v>
      </c>
      <c r="F417" s="1" t="s">
        <v>1141</v>
      </c>
      <c r="I417" t="s">
        <v>1108</v>
      </c>
      <c r="J417" s="26">
        <v>46133</v>
      </c>
      <c r="K417" s="26">
        <v>46139</v>
      </c>
      <c r="L417" t="s">
        <v>29</v>
      </c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49"/>
      <c r="X417" s="25"/>
      <c r="Y417" s="28"/>
      <c r="Z417" s="28"/>
      <c r="AA417" s="28"/>
      <c r="AB417" s="28"/>
      <c r="AC417" s="28"/>
    </row>
    <row r="418" spans="2:29" ht="15" hidden="1" customHeight="1">
      <c r="B418" t="s">
        <v>1142</v>
      </c>
      <c r="C418" t="s">
        <v>646</v>
      </c>
      <c r="D418" t="s">
        <v>1017</v>
      </c>
      <c r="E418" t="s">
        <v>1034</v>
      </c>
      <c r="F418" s="1" t="s">
        <v>1143</v>
      </c>
      <c r="I418" t="s">
        <v>54</v>
      </c>
      <c r="J418" s="26">
        <v>46133</v>
      </c>
      <c r="K418" s="26">
        <v>46139</v>
      </c>
      <c r="L418" t="s">
        <v>29</v>
      </c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2:29" ht="15" hidden="1" customHeight="1">
      <c r="B419" t="s">
        <v>1144</v>
      </c>
      <c r="C419" t="s">
        <v>646</v>
      </c>
      <c r="D419" t="s">
        <v>1017</v>
      </c>
      <c r="E419" t="s">
        <v>1034</v>
      </c>
      <c r="F419" s="1" t="s">
        <v>1145</v>
      </c>
      <c r="I419" t="s">
        <v>1136</v>
      </c>
      <c r="J419" s="26">
        <v>46133</v>
      </c>
      <c r="K419" s="26">
        <v>46139</v>
      </c>
      <c r="L419" t="s">
        <v>29</v>
      </c>
    </row>
    <row r="420" spans="2:29" ht="15" hidden="1" customHeight="1">
      <c r="B420" t="s">
        <v>1146</v>
      </c>
      <c r="C420" t="s">
        <v>646</v>
      </c>
      <c r="D420" t="s">
        <v>1017</v>
      </c>
      <c r="E420" t="s">
        <v>1034</v>
      </c>
      <c r="F420" s="1" t="s">
        <v>1147</v>
      </c>
      <c r="I420" t="s">
        <v>1133</v>
      </c>
      <c r="J420" s="26">
        <v>46133</v>
      </c>
      <c r="K420" s="26">
        <v>46139</v>
      </c>
      <c r="L420" t="s">
        <v>29</v>
      </c>
    </row>
    <row r="421" spans="2:29" ht="15" hidden="1" customHeight="1">
      <c r="B421" t="s">
        <v>1148</v>
      </c>
      <c r="C421" t="s">
        <v>646</v>
      </c>
      <c r="D421" t="s">
        <v>1017</v>
      </c>
      <c r="E421" t="s">
        <v>1034</v>
      </c>
      <c r="F421" s="1" t="s">
        <v>1149</v>
      </c>
      <c r="I421" t="s">
        <v>151</v>
      </c>
      <c r="J421" s="26">
        <v>46133</v>
      </c>
      <c r="K421" s="26">
        <v>46139</v>
      </c>
      <c r="L421" t="s">
        <v>29</v>
      </c>
    </row>
    <row r="422" spans="2:29" s="111" customFormat="1" ht="15" customHeight="1">
      <c r="B422" s="111" t="s">
        <v>1150</v>
      </c>
      <c r="C422" s="111" t="s">
        <v>646</v>
      </c>
      <c r="D422" s="111" t="s">
        <v>1017</v>
      </c>
      <c r="E422" s="111" t="s">
        <v>1034</v>
      </c>
      <c r="F422" s="102" t="s">
        <v>1151</v>
      </c>
      <c r="G422" s="111" t="s">
        <v>121</v>
      </c>
      <c r="I422" s="111" t="s">
        <v>1108</v>
      </c>
      <c r="J422" s="112">
        <v>46168</v>
      </c>
      <c r="K422" s="112">
        <v>46174</v>
      </c>
      <c r="L422" s="111" t="s">
        <v>106</v>
      </c>
    </row>
    <row r="423" spans="2:29" s="111" customFormat="1" ht="15" customHeight="1">
      <c r="B423" s="111" t="s">
        <v>1152</v>
      </c>
      <c r="C423" s="111" t="s">
        <v>646</v>
      </c>
      <c r="D423" s="111" t="s">
        <v>1017</v>
      </c>
      <c r="E423" s="111" t="s">
        <v>1034</v>
      </c>
      <c r="F423" s="102" t="s">
        <v>1153</v>
      </c>
      <c r="G423" s="111" t="s">
        <v>121</v>
      </c>
      <c r="I423" s="111" t="s">
        <v>1154</v>
      </c>
      <c r="J423" s="112">
        <v>46168</v>
      </c>
      <c r="K423" s="112">
        <v>46174</v>
      </c>
      <c r="L423" s="111" t="s">
        <v>106</v>
      </c>
    </row>
    <row r="424" spans="2:29" s="111" customFormat="1" ht="15" customHeight="1">
      <c r="B424" s="111" t="s">
        <v>1155</v>
      </c>
      <c r="C424" s="111" t="s">
        <v>646</v>
      </c>
      <c r="D424" s="111" t="s">
        <v>1017</v>
      </c>
      <c r="E424" s="111" t="s">
        <v>1034</v>
      </c>
      <c r="F424" s="102" t="s">
        <v>1156</v>
      </c>
      <c r="G424" s="111" t="s">
        <v>121</v>
      </c>
      <c r="I424" s="111" t="s">
        <v>1136</v>
      </c>
      <c r="J424" s="112">
        <v>46168</v>
      </c>
      <c r="K424" s="112">
        <v>46174</v>
      </c>
      <c r="L424" s="111" t="s">
        <v>106</v>
      </c>
    </row>
    <row r="425" spans="2:29" s="111" customFormat="1" ht="15" customHeight="1">
      <c r="B425" s="111" t="s">
        <v>1157</v>
      </c>
      <c r="C425" s="111" t="s">
        <v>646</v>
      </c>
      <c r="D425" s="111" t="s">
        <v>1017</v>
      </c>
      <c r="E425" s="111" t="s">
        <v>1034</v>
      </c>
      <c r="F425" s="102" t="s">
        <v>1158</v>
      </c>
      <c r="G425" s="111" t="s">
        <v>121</v>
      </c>
      <c r="I425" s="111" t="s">
        <v>151</v>
      </c>
      <c r="J425" s="112">
        <v>46168</v>
      </c>
      <c r="K425" s="112">
        <v>46174</v>
      </c>
      <c r="L425" s="111" t="s">
        <v>106</v>
      </c>
    </row>
    <row r="426" spans="2:29" ht="15" hidden="1" customHeight="1">
      <c r="B426" s="111"/>
      <c r="C426" s="111"/>
      <c r="D426" s="111"/>
      <c r="E426" s="111"/>
      <c r="F426" s="102"/>
      <c r="G426" s="111"/>
      <c r="H426" s="111"/>
      <c r="I426" s="111"/>
      <c r="J426" s="112"/>
      <c r="K426" s="112"/>
      <c r="L426" s="111"/>
    </row>
    <row r="427" spans="2:29" ht="15" hidden="1" customHeight="1">
      <c r="B427" s="111"/>
      <c r="C427" s="111" t="s">
        <v>646</v>
      </c>
      <c r="D427" s="111"/>
      <c r="E427" s="111"/>
      <c r="F427" s="102" t="s">
        <v>1159</v>
      </c>
      <c r="G427" s="111"/>
      <c r="H427" s="111"/>
      <c r="I427" s="111" t="s">
        <v>1160</v>
      </c>
      <c r="J427" s="112"/>
      <c r="K427" s="112" t="s">
        <v>1161</v>
      </c>
      <c r="L427" s="111">
        <v>0</v>
      </c>
    </row>
    <row r="428" spans="2:29" ht="15" hidden="1" customHeight="1">
      <c r="B428" s="111"/>
      <c r="C428" s="111" t="s">
        <v>646</v>
      </c>
      <c r="D428" s="111"/>
      <c r="E428" s="111"/>
      <c r="F428" s="102" t="s">
        <v>1162</v>
      </c>
      <c r="G428" s="111"/>
      <c r="H428" s="111"/>
      <c r="I428" s="111" t="s">
        <v>1163</v>
      </c>
      <c r="J428" s="112"/>
      <c r="K428" s="112" t="s">
        <v>1164</v>
      </c>
      <c r="L428" s="111">
        <v>0</v>
      </c>
    </row>
    <row r="429" spans="2:29" s="111" customFormat="1" ht="15" customHeight="1">
      <c r="B429" s="111" t="s">
        <v>1165</v>
      </c>
      <c r="C429" s="111" t="s">
        <v>646</v>
      </c>
      <c r="D429" s="111" t="s">
        <v>647</v>
      </c>
      <c r="E429" s="111" t="s">
        <v>648</v>
      </c>
      <c r="F429" s="102" t="s">
        <v>1166</v>
      </c>
      <c r="G429" s="111" t="s">
        <v>650</v>
      </c>
      <c r="I429" s="111" t="s">
        <v>276</v>
      </c>
      <c r="J429" s="112">
        <v>46153</v>
      </c>
      <c r="K429" s="112">
        <v>46160</v>
      </c>
      <c r="L429" s="111" t="s">
        <v>106</v>
      </c>
    </row>
    <row r="430" spans="2:29" s="111" customFormat="1" ht="15" customHeight="1">
      <c r="B430" s="111" t="s">
        <v>1167</v>
      </c>
      <c r="C430" s="111" t="s">
        <v>646</v>
      </c>
      <c r="D430" s="111" t="s">
        <v>647</v>
      </c>
      <c r="E430" s="111" t="s">
        <v>648</v>
      </c>
      <c r="F430" s="102" t="s">
        <v>1168</v>
      </c>
      <c r="G430" s="111" t="s">
        <v>650</v>
      </c>
      <c r="I430" s="111" t="s">
        <v>789</v>
      </c>
      <c r="J430" s="112">
        <v>46153</v>
      </c>
      <c r="K430" s="112">
        <v>46160</v>
      </c>
      <c r="L430" s="111" t="s">
        <v>106</v>
      </c>
    </row>
    <row r="431" spans="2:29" s="111" customFormat="1" ht="15" customHeight="1">
      <c r="B431" s="111" t="s">
        <v>1169</v>
      </c>
      <c r="C431" s="111" t="s">
        <v>646</v>
      </c>
      <c r="D431" s="111" t="s">
        <v>647</v>
      </c>
      <c r="E431" s="111" t="s">
        <v>648</v>
      </c>
      <c r="F431" s="102" t="s">
        <v>1170</v>
      </c>
      <c r="G431" s="111" t="s">
        <v>650</v>
      </c>
      <c r="I431" s="111" t="s">
        <v>276</v>
      </c>
      <c r="J431" s="112">
        <v>46161</v>
      </c>
      <c r="K431" s="112">
        <v>46169</v>
      </c>
      <c r="L431" s="111" t="s">
        <v>106</v>
      </c>
    </row>
    <row r="432" spans="2:29" s="111" customFormat="1" ht="15" customHeight="1">
      <c r="B432" s="111" t="s">
        <v>1171</v>
      </c>
      <c r="C432" s="111" t="s">
        <v>646</v>
      </c>
      <c r="D432" s="111" t="s">
        <v>647</v>
      </c>
      <c r="E432" s="111" t="s">
        <v>648</v>
      </c>
      <c r="F432" s="102" t="s">
        <v>1172</v>
      </c>
      <c r="G432" s="111" t="s">
        <v>1173</v>
      </c>
      <c r="I432" s="111" t="s">
        <v>865</v>
      </c>
      <c r="J432" s="112">
        <v>46161</v>
      </c>
      <c r="K432" s="112">
        <v>46169</v>
      </c>
      <c r="L432" s="111" t="s">
        <v>106</v>
      </c>
    </row>
    <row r="433" spans="2:29" s="111" customFormat="1" ht="15" customHeight="1">
      <c r="B433" s="111" t="s">
        <v>1174</v>
      </c>
      <c r="C433" s="111" t="s">
        <v>646</v>
      </c>
      <c r="D433" s="111" t="s">
        <v>647</v>
      </c>
      <c r="E433" s="111" t="s">
        <v>648</v>
      </c>
      <c r="F433" s="102" t="s">
        <v>1175</v>
      </c>
      <c r="G433" s="111" t="s">
        <v>650</v>
      </c>
      <c r="I433" s="111" t="s">
        <v>276</v>
      </c>
      <c r="J433" s="112">
        <v>46161</v>
      </c>
      <c r="K433" s="112">
        <v>46169</v>
      </c>
      <c r="L433" s="111" t="s">
        <v>106</v>
      </c>
    </row>
    <row r="434" spans="2:29" s="111" customFormat="1" ht="15" customHeight="1">
      <c r="B434" s="111" t="s">
        <v>1176</v>
      </c>
      <c r="C434" s="111" t="s">
        <v>646</v>
      </c>
      <c r="D434" s="111" t="s">
        <v>647</v>
      </c>
      <c r="E434" s="111" t="s">
        <v>648</v>
      </c>
      <c r="F434" s="102" t="s">
        <v>1177</v>
      </c>
      <c r="G434" s="111" t="s">
        <v>672</v>
      </c>
      <c r="I434" s="111" t="s">
        <v>865</v>
      </c>
      <c r="J434" s="112">
        <v>46161</v>
      </c>
      <c r="K434" s="112">
        <v>46188</v>
      </c>
      <c r="L434" s="111" t="s">
        <v>106</v>
      </c>
    </row>
    <row r="435" spans="2:29" s="111" customFormat="1" ht="15" customHeight="1">
      <c r="B435" s="111" t="s">
        <v>1178</v>
      </c>
      <c r="C435" s="111" t="s">
        <v>646</v>
      </c>
      <c r="D435" s="111" t="s">
        <v>647</v>
      </c>
      <c r="E435" s="111" t="s">
        <v>648</v>
      </c>
      <c r="F435" s="102" t="s">
        <v>1179</v>
      </c>
      <c r="G435" s="111" t="s">
        <v>750</v>
      </c>
      <c r="I435" s="111" t="s">
        <v>676</v>
      </c>
      <c r="J435" s="112">
        <v>46161</v>
      </c>
      <c r="K435" s="112">
        <v>46164</v>
      </c>
      <c r="L435" s="111" t="s">
        <v>106</v>
      </c>
    </row>
    <row r="436" spans="2:29" ht="25.5" hidden="1" customHeight="1">
      <c r="B436" t="s">
        <v>1178</v>
      </c>
      <c r="C436" t="s">
        <v>646</v>
      </c>
      <c r="D436" t="s">
        <v>647</v>
      </c>
      <c r="E436" t="s">
        <v>748</v>
      </c>
      <c r="F436" s="1" t="s">
        <v>1180</v>
      </c>
      <c r="G436" t="s">
        <v>113</v>
      </c>
      <c r="I436" t="s">
        <v>276</v>
      </c>
      <c r="J436" s="26">
        <v>46161</v>
      </c>
      <c r="K436" s="26">
        <v>46169</v>
      </c>
      <c r="L436" t="s">
        <v>29</v>
      </c>
    </row>
    <row r="437" spans="2:29" ht="15" customHeight="1">
      <c r="B437" t="s">
        <v>1181</v>
      </c>
      <c r="C437" t="s">
        <v>22</v>
      </c>
      <c r="D437" t="s">
        <v>179</v>
      </c>
      <c r="E437" t="s">
        <v>180</v>
      </c>
      <c r="F437" s="1" t="s">
        <v>1182</v>
      </c>
      <c r="G437" t="s">
        <v>1183</v>
      </c>
      <c r="I437" t="s">
        <v>206</v>
      </c>
      <c r="J437" s="119">
        <v>46154</v>
      </c>
      <c r="K437" s="39">
        <v>46163</v>
      </c>
      <c r="L437" t="s">
        <v>202</v>
      </c>
      <c r="M437" s="20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121"/>
      <c r="AA437" s="121"/>
      <c r="AB437" s="28"/>
      <c r="AC437" s="20"/>
    </row>
    <row r="438" spans="2:29" ht="15" customHeight="1">
      <c r="B438" s="61" t="s">
        <v>1184</v>
      </c>
      <c r="C438" s="61" t="s">
        <v>22</v>
      </c>
      <c r="D438" s="61" t="s">
        <v>179</v>
      </c>
      <c r="E438" s="62" t="s">
        <v>180</v>
      </c>
      <c r="F438" s="63" t="s">
        <v>1185</v>
      </c>
      <c r="G438" s="62" t="s">
        <v>260</v>
      </c>
      <c r="H438" s="61" t="s">
        <v>1186</v>
      </c>
      <c r="I438" s="61" t="s">
        <v>187</v>
      </c>
      <c r="J438" s="65">
        <v>46163</v>
      </c>
      <c r="K438" s="65">
        <v>46170</v>
      </c>
      <c r="L438" s="61" t="s">
        <v>1187</v>
      </c>
      <c r="M438" s="20"/>
      <c r="N438" s="20"/>
      <c r="O438" s="20"/>
      <c r="P438" s="20"/>
      <c r="Q438" s="20"/>
      <c r="R438" s="20"/>
      <c r="S438" s="20"/>
      <c r="T438" s="20"/>
      <c r="U438" s="28"/>
      <c r="V438" s="28"/>
      <c r="W438" s="28"/>
      <c r="X438" s="28"/>
      <c r="Y438" s="28"/>
      <c r="Z438" s="20"/>
      <c r="AA438" s="49"/>
      <c r="AB438" s="49"/>
      <c r="AC438" s="20"/>
    </row>
    <row r="439" spans="2:29" ht="15" customHeight="1">
      <c r="B439" t="s">
        <v>1188</v>
      </c>
      <c r="C439" t="s">
        <v>22</v>
      </c>
      <c r="D439" t="s">
        <v>179</v>
      </c>
      <c r="E439" t="s">
        <v>180</v>
      </c>
      <c r="F439" s="1" t="s">
        <v>1189</v>
      </c>
      <c r="G439" t="s">
        <v>1190</v>
      </c>
      <c r="I439" t="s">
        <v>6</v>
      </c>
      <c r="J439" s="119">
        <v>46163</v>
      </c>
      <c r="K439" s="39">
        <v>46163</v>
      </c>
      <c r="L439" t="s">
        <v>1187</v>
      </c>
      <c r="M439" s="20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122"/>
      <c r="AA439" s="123"/>
      <c r="AB439" s="28"/>
      <c r="AC439" s="20"/>
    </row>
    <row r="441" spans="2:29" ht="15" customHeight="1">
      <c r="H441" t="s">
        <v>1191</v>
      </c>
    </row>
  </sheetData>
  <mergeCells count="4">
    <mergeCell ref="M1:P1"/>
    <mergeCell ref="Q1:U1"/>
    <mergeCell ref="V1:Y1"/>
    <mergeCell ref="Z1:AC1"/>
  </mergeCells>
  <phoneticPr fontId="4" type="noConversion"/>
  <conditionalFormatting sqref="N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{E44FA62A-2521-4D1E-8F9B-1344E0624DE3}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{C589B783-87F6-4EA6-94EE-AC6176F087C1}</x14:id>
        </ext>
      </extLst>
    </cfRule>
  </conditionalFormatting>
  <conditionalFormatting sqref="O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{246B00D2-D4EB-4F98-9FE1-613E9FAFB811}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{FF5D0191-FC63-497F-B44D-5429616348AD}</x14:id>
        </ext>
      </extLst>
    </cfRule>
  </conditionalFormatting>
  <conditionalFormatting sqref="O7 O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{6BB7E6FB-B5D0-4275-B036-84FADE5F67E6}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{2C72FBB3-BFD3-4856-A1DF-67E9A1CEDD81}</x14:id>
        </ext>
      </extLst>
    </cfRule>
  </conditionalFormatting>
  <conditionalFormatting sqref="AF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{88226A3D-5F44-463A-944D-7A84C447516B}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{4ADAE76D-7CCE-428E-88A8-4A36FA92A094}</x14:id>
        </ext>
      </extLst>
    </cfRule>
  </conditionalFormatting>
  <conditionalFormatting sqref="AG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{DE8A87A0-BA49-462F-9335-939903E38C92}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{9196301C-DB2F-43CF-9A3B-0AB5E44B41A1}</x14:id>
        </ext>
      </extLst>
    </cfRule>
  </conditionalFormatting>
  <conditionalFormatting sqref="AG7:AG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{61EE0724-FDA9-45A2-A403-6B1A8CDE8A79}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{DCB55DBC-C717-4FDA-BCB9-5C92BBAF9499}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4FA62A-2521-4D1E-8F9B-1344E0624D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89B783-87F6-4EA6-94EE-AC6176F08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246B00D2-D4EB-4F98-9FE1-613E9FAFB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5D0191-FC63-497F-B44D-542961634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BB7E6FB-B5D0-4275-B036-84FADE5F67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72FBB3-BFD3-4856-A1DF-67E9A1CED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 O9</xm:sqref>
        </x14:conditionalFormatting>
        <x14:conditionalFormatting xmlns:xm="http://schemas.microsoft.com/office/excel/2006/main">
          <x14:cfRule type="dataBar" id="{88226A3D-5F44-463A-944D-7A84C44751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DAE76D-7CCE-428E-88A8-4A36FA92A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AF6</xm:sqref>
        </x14:conditionalFormatting>
        <x14:conditionalFormatting xmlns:xm="http://schemas.microsoft.com/office/excel/2006/main">
          <x14:cfRule type="dataBar" id="{DE8A87A0-BA49-462F-9335-939903E38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96301C-DB2F-43CF-9A3B-0AB5E44B4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AG4</xm:sqref>
        </x14:conditionalFormatting>
        <x14:conditionalFormatting xmlns:xm="http://schemas.microsoft.com/office/excel/2006/main">
          <x14:cfRule type="dataBar" id="{61EE0724-FDA9-45A2-A403-6B1A8CDE8A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B55DBC-C717-4FDA-BCB9-5C92BBAF9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AG7:AG8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8D57-37AD-4E59-9915-27E3A996A86D}">
  <dimension ref="A1"/>
  <sheetViews>
    <sheetView workbookViewId="0">
      <selection activeCell="E14" sqref="E14"/>
    </sheetView>
  </sheetViews>
  <sheetFormatPr defaultColWidth="8.8554687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10" sqref="F10"/>
    </sheetView>
  </sheetViews>
  <sheetFormatPr defaultColWidth="8.8554687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0476-C4E9-44AC-B2AC-5C2009A18447}">
  <dimension ref="B2:D4"/>
  <sheetViews>
    <sheetView workbookViewId="0">
      <selection activeCell="D6" sqref="D6"/>
    </sheetView>
  </sheetViews>
  <sheetFormatPr defaultColWidth="8.7109375" defaultRowHeight="14.45"/>
  <cols>
    <col min="2" max="2" width="18" bestFit="1" customWidth="1"/>
    <col min="3" max="3" width="31.42578125" bestFit="1" customWidth="1"/>
    <col min="4" max="4" width="11.140625" bestFit="1" customWidth="1"/>
  </cols>
  <sheetData>
    <row r="2" spans="2:4">
      <c r="B2" s="131" t="s">
        <v>1192</v>
      </c>
      <c r="C2" s="132"/>
      <c r="D2" s="133"/>
    </row>
    <row r="3" spans="2:4">
      <c r="B3" s="10" t="s">
        <v>5</v>
      </c>
      <c r="C3" s="12" t="s">
        <v>1193</v>
      </c>
      <c r="D3" s="12" t="s">
        <v>1194</v>
      </c>
    </row>
    <row r="4" spans="2:4" ht="43.5">
      <c r="B4" s="11" t="s">
        <v>1195</v>
      </c>
      <c r="C4" s="13" t="s">
        <v>1196</v>
      </c>
      <c r="D4" s="17">
        <v>46083</v>
      </c>
    </row>
  </sheetData>
  <mergeCells count="1">
    <mergeCell ref="B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269f45-3424-4d2d-b4c2-fded774c6567">
      <Terms xmlns="http://schemas.microsoft.com/office/infopath/2007/PartnerControls"/>
    </lcf76f155ced4ddcb4097134ff3c332f>
    <TaxCatchAll xmlns="5e10183f-e143-4e8e-a90a-08435f1ef814" xsi:nil="true"/>
    <Te_x0020_dan_x0020_una_x0020_tarde_x0020_libre_x0020_para_x0020_aportar_x0020_al_x0020_equipo_x0020_como_x0020_quieras_x002e__x0020__x00bf_Qu_x00e9__x0020_haces_x003f__x0020_ xmlns="d6269f45-3424-4d2d-b4c2-fded774c65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E93538C6EE4114787BA3D7B5C1339D1" ma:contentTypeVersion="24" ma:contentTypeDescription="Crear nuevo documento." ma:contentTypeScope="" ma:versionID="19adf6a9f16802fbf6b8fc1d04686b14">
  <xsd:schema xmlns:xsd="http://www.w3.org/2001/XMLSchema" xmlns:xs="http://www.w3.org/2001/XMLSchema" xmlns:p="http://schemas.microsoft.com/office/2006/metadata/properties" xmlns:ns2="d6269f45-3424-4d2d-b4c2-fded774c6567" xmlns:ns3="5e10183f-e143-4e8e-a90a-08435f1ef814" targetNamespace="http://schemas.microsoft.com/office/2006/metadata/properties" ma:root="true" ma:fieldsID="97116cbe4547ad6f9117137e70fd6e02" ns2:_="" ns3:_="">
    <xsd:import namespace="d6269f45-3424-4d2d-b4c2-fded774c6567"/>
    <xsd:import namespace="5e10183f-e143-4e8e-a90a-08435f1ef8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  <xsd:element ref="ns2:Te_x0020_dan_x0020_una_x0020_tarde_x0020_libre_x0020_para_x0020_aportar_x0020_al_x0020_equipo_x0020_como_x0020_quieras_x002e__x0020__x00bf_Qu_x00e9__x0020_haces_x003f__x002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69f45-3424-4d2d-b4c2-fded774c6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_x0020_dan_x0020_una_x0020_tarde_x0020_libre_x0020_para_x0020_aportar_x0020_al_x0020_equipo_x0020_como_x0020_quieras_x002e__x0020__x00bf_Qu_x00e9__x0020_haces_x003f__x0020_" ma:index="21" nillable="true" ma:displayName="Te dan una tarde libre para aportar al equipo como quieras. ¿Qué haces? " ma:format="Dropdown" ma:internalName="Te_x0020_dan_x0020_una_x0020_tarde_x0020_libre_x0020_para_x0020_aportar_x0020_al_x0020_equipo_x0020_como_x0020_quieras_x002e__x0020__x00bf_Qu_x00e9__x0020_haces_x003f__x0020_">
      <xsd:simpleType>
        <xsd:restriction base="dms:Choice">
          <xsd:enumeration value="Contacto a alguien que podría ser útil para el programa"/>
          <xsd:enumeration value="Organizo o analizo información que estaba pendiente"/>
          <xsd:enumeration value="Creo algo — un documento, una presentación, algo visual"/>
          <xsd:enumeration value="Reviso qué compromisos están atrasados y hago seguimient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0183f-e143-4e8e-a90a-08435f1ef8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57173e7-68b4-4673-96d4-7ccb2ebd9bcb}" ma:internalName="TaxCatchAll" ma:showField="CatchAllData" ma:web="5e10183f-e143-4e8e-a90a-08435f1ef8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16F18D-9D57-4CFC-9079-3FC795DB35C9}"/>
</file>

<file path=customXml/itemProps2.xml><?xml version="1.0" encoding="utf-8"?>
<ds:datastoreItem xmlns:ds="http://schemas.openxmlformats.org/officeDocument/2006/customXml" ds:itemID="{B6237D43-D8B8-4191-A8C5-4DE2F8895A3B}"/>
</file>

<file path=customXml/itemProps3.xml><?xml version="1.0" encoding="utf-8"?>
<ds:datastoreItem xmlns:ds="http://schemas.openxmlformats.org/officeDocument/2006/customXml" ds:itemID="{24B3FA76-408B-4ED1-963D-9047FD21D09A}"/>
</file>

<file path=customXml/itemProps4.xml><?xml version="1.0" encoding="utf-8"?>
<ds:datastoreItem xmlns:ds="http://schemas.openxmlformats.org/officeDocument/2006/customXml" ds:itemID="{6870B23C-9C9F-4011-811B-B0E9CCFD4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2026-02-19T14:49:58Z</dcterms:created>
  <dcterms:modified xsi:type="dcterms:W3CDTF">2026-05-28T02:20:41Z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0x0101005E93538C6EE4114787BA3D7B5C1339D1</vt:lpwstr>
  </property>
  <property fmtid="{D5CDD505-2E9C-101B-9397-08002B2CF9AE}" pid="3" name="MediaServiceImageTags">
    <vt:lpwstr/>
  </property>
</Properties>
</file>